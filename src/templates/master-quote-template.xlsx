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gudrunaudur/Desktop/"/>
    </mc:Choice>
  </mc:AlternateContent>
  <xr:revisionPtr revIDLastSave="0" documentId="13_ncr:1_{CF625949-1DC1-2642-ADA4-B578EA0F6A98}" xr6:coauthVersionLast="47" xr6:coauthVersionMax="47" xr10:uidLastSave="{00000000-0000-0000-0000-000000000000}"/>
  <bookViews>
    <workbookView xWindow="16160" yWindow="1620" windowWidth="18040" windowHeight="15840" xr2:uid="{00000000-000D-0000-FFFF-FFFF00000000}"/>
  </bookViews>
  <sheets>
    <sheet name="Pantanir" sheetId="1" r:id="rId1"/>
    <sheet name="Vörulisti" sheetId="2" r:id="rId2"/>
    <sheet name="Sheet1" sheetId="3" r:id="rId3"/>
  </sheets>
  <definedNames>
    <definedName name="Áletrun">Vörulisti!$F$37:$F$40</definedName>
    <definedName name="Annað">Vörulisti!$Q$5:$Q$140</definedName>
    <definedName name="AnnaðVerð">Vörulisti!$Q$5:$R$140</definedName>
    <definedName name="BlómarammarVerð">Vörulisti!$F$4:$F$7</definedName>
    <definedName name="Bull">Vörulisti!#REF!</definedName>
    <definedName name="Fuglar">Vörulisti!$N$25:$N$50</definedName>
    <definedName name="Fuglar1">Vörulisti!$N$22:$N$50</definedName>
    <definedName name="Fuglar2">Vörulisti!$N$23:$N$50</definedName>
    <definedName name="FuglarVerð">Vörulisti!$N$24:$O$50</definedName>
    <definedName name="Glitir">Vörulisti!$B$4:$B$24</definedName>
    <definedName name="Kirkjugarðar">Vörulisti!$F$66:$F$90</definedName>
    <definedName name="Krossar">Vörulisti!$H$4:$H$149</definedName>
    <definedName name="Krossar1">Vörulisti!$H$4:$H$141</definedName>
    <definedName name="KrossarVerð">Vörulisti!$H$4:$I$149</definedName>
    <definedName name="Legsteinar">Vörulisti!$B$3:$B$25</definedName>
    <definedName name="LegsteinarVerð">Vörulisti!$B$3:$D$13</definedName>
    <definedName name="Legsteinn">Vörulisti!$C$4:$C$165</definedName>
    <definedName name="Letur">Vörulisti!$F$24:$F$32</definedName>
    <definedName name="Litur">Vörulisti!$F$54:$F$62</definedName>
    <definedName name="LuktirVasar">Vörulisti!$K$4:$K$39</definedName>
    <definedName name="LuktirVasarVerð">Vörulisti!$K$4:$L$38</definedName>
    <definedName name="Mynd">Vörulisti!$N$4:$N$11</definedName>
    <definedName name="Myndir">Vörulisti!$B$3:$C$13</definedName>
    <definedName name="MyndOgRammiVerð">Vörulisti!#REF!</definedName>
    <definedName name="MyndVerð">Vörulisti!$N$4:$O$11</definedName>
    <definedName name="_xlnm.Print_Area" localSheetId="0">Pantanir!$B$2:$M$65</definedName>
    <definedName name="Rammi">Vörulisti!$N$14:$N$20</definedName>
    <definedName name="RammiVerð">Vörulisti!$N$14:$O$20</definedName>
    <definedName name="Sölumaður">Vörulisti!$F$45:$F$50</definedName>
    <definedName name="STD">Vörulisti!$C$4:$D$165</definedName>
    <definedName name="Steinar">Vörulisti!#REF!</definedName>
    <definedName name="Steinar1">Vörulisti!#REF!</definedName>
    <definedName name="SteinaVerð">Vörulisti!$D$4:$D$165</definedName>
    <definedName name="STVerð">Vörulisti!$C$4:$D$165</definedName>
    <definedName name="Uppsetning">Vörulisti!$F$12:$F$19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9" i="1" l="1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4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K29" i="1" l="1"/>
  <c r="K37" i="1" l="1"/>
  <c r="K38" i="1"/>
  <c r="K36" i="1"/>
  <c r="B19" i="1"/>
  <c r="B20" i="1"/>
  <c r="B22" i="1"/>
  <c r="B26" i="1"/>
  <c r="B21" i="1"/>
  <c r="B23" i="1"/>
  <c r="B18" i="1"/>
  <c r="B27" i="1"/>
  <c r="B24" i="1"/>
  <c r="B25" i="1"/>
  <c r="M20" i="1"/>
  <c r="M21" i="1"/>
  <c r="M22" i="1"/>
  <c r="M23" i="1"/>
  <c r="M25" i="1"/>
  <c r="M24" i="1"/>
  <c r="K48" i="1"/>
  <c r="K47" i="1"/>
  <c r="K46" i="1"/>
  <c r="K32" i="1"/>
  <c r="K33" i="1"/>
  <c r="K34" i="1"/>
  <c r="K35" i="1"/>
  <c r="K40" i="1"/>
  <c r="K41" i="1"/>
  <c r="K43" i="1"/>
  <c r="K44" i="1"/>
  <c r="K45" i="1"/>
  <c r="M28" i="1" l="1"/>
  <c r="B28" i="1"/>
  <c r="D30" i="1" l="1"/>
  <c r="K30" i="1" s="1"/>
  <c r="K54" i="1" s="1"/>
</calcChain>
</file>

<file path=xl/sharedStrings.xml><?xml version="1.0" encoding="utf-8"?>
<sst xmlns="http://schemas.openxmlformats.org/spreadsheetml/2006/main" count="541" uniqueCount="498">
  <si>
    <t>Dagsetning</t>
  </si>
  <si>
    <t>Letur</t>
  </si>
  <si>
    <t>Vörulisti</t>
  </si>
  <si>
    <t>Bookman Old Style</t>
  </si>
  <si>
    <t>Souvenier</t>
  </si>
  <si>
    <t>Arial</t>
  </si>
  <si>
    <t>Zap Chan BD BT</t>
  </si>
  <si>
    <t>Cataneo</t>
  </si>
  <si>
    <t>Times New Roman</t>
  </si>
  <si>
    <t>Kross</t>
  </si>
  <si>
    <t>Luktir og vasar</t>
  </si>
  <si>
    <t>Fuglar</t>
  </si>
  <si>
    <t>Uppsetning</t>
  </si>
  <si>
    <t>Verð</t>
  </si>
  <si>
    <t xml:space="preserve">Steinn </t>
  </si>
  <si>
    <t xml:space="preserve">Kross </t>
  </si>
  <si>
    <t xml:space="preserve">Verð </t>
  </si>
  <si>
    <t xml:space="preserve">Fugl </t>
  </si>
  <si>
    <t>Staðfest</t>
  </si>
  <si>
    <t xml:space="preserve">Áletrun </t>
  </si>
  <si>
    <t>BlómarammarVerð</t>
  </si>
  <si>
    <t>Annað</t>
  </si>
  <si>
    <t xml:space="preserve">Annað </t>
  </si>
  <si>
    <t>Stafafjöldi</t>
  </si>
  <si>
    <t>Áletrun</t>
  </si>
  <si>
    <t>BK101</t>
  </si>
  <si>
    <t>BK102</t>
  </si>
  <si>
    <t>BK103</t>
  </si>
  <si>
    <t>BK104</t>
  </si>
  <si>
    <t>BK105</t>
  </si>
  <si>
    <t>BK106</t>
  </si>
  <si>
    <t>BK107</t>
  </si>
  <si>
    <t>BK108</t>
  </si>
  <si>
    <t>BK109</t>
  </si>
  <si>
    <t>BK110</t>
  </si>
  <si>
    <t>BK111</t>
  </si>
  <si>
    <t>BK112</t>
  </si>
  <si>
    <t>BK113</t>
  </si>
  <si>
    <t>BK114</t>
  </si>
  <si>
    <t>BK115</t>
  </si>
  <si>
    <t>BK116</t>
  </si>
  <si>
    <t>KK201</t>
  </si>
  <si>
    <t>KK202</t>
  </si>
  <si>
    <t>KK203</t>
  </si>
  <si>
    <t>KK204</t>
  </si>
  <si>
    <t>KK205</t>
  </si>
  <si>
    <t>KK206</t>
  </si>
  <si>
    <t>KK207</t>
  </si>
  <si>
    <t>KK208</t>
  </si>
  <si>
    <t>KK209</t>
  </si>
  <si>
    <t>KK210</t>
  </si>
  <si>
    <t>KK211</t>
  </si>
  <si>
    <t>KK212</t>
  </si>
  <si>
    <t>KK213</t>
  </si>
  <si>
    <t>KK214</t>
  </si>
  <si>
    <t>KK215</t>
  </si>
  <si>
    <t>KK216</t>
  </si>
  <si>
    <t>KK217</t>
  </si>
  <si>
    <t>KK218</t>
  </si>
  <si>
    <t>KK219</t>
  </si>
  <si>
    <t>KK220</t>
  </si>
  <si>
    <t>KK221</t>
  </si>
  <si>
    <t>Koparstafir</t>
  </si>
  <si>
    <t>LG02</t>
  </si>
  <si>
    <t>LK02</t>
  </si>
  <si>
    <t>LA01</t>
  </si>
  <si>
    <t>LA02</t>
  </si>
  <si>
    <t>VK02</t>
  </si>
  <si>
    <t>KS101</t>
  </si>
  <si>
    <t>KS102</t>
  </si>
  <si>
    <t>KS103</t>
  </si>
  <si>
    <t>KS104</t>
  </si>
  <si>
    <t>KS105</t>
  </si>
  <si>
    <t>KS106</t>
  </si>
  <si>
    <t>KS107</t>
  </si>
  <si>
    <t>KS108</t>
  </si>
  <si>
    <t>KS109</t>
  </si>
  <si>
    <t>KS110</t>
  </si>
  <si>
    <t>KS111</t>
  </si>
  <si>
    <t>KS112</t>
  </si>
  <si>
    <t>KS113</t>
  </si>
  <si>
    <t>KS114</t>
  </si>
  <si>
    <t>KS115</t>
  </si>
  <si>
    <t>KS116</t>
  </si>
  <si>
    <t>KS117</t>
  </si>
  <si>
    <t>KS118</t>
  </si>
  <si>
    <t>KS119</t>
  </si>
  <si>
    <t>KS120</t>
  </si>
  <si>
    <t>KS121</t>
  </si>
  <si>
    <t>KS122</t>
  </si>
  <si>
    <t>KS123</t>
  </si>
  <si>
    <t>KS124</t>
  </si>
  <si>
    <t>KS125</t>
  </si>
  <si>
    <t>KS126</t>
  </si>
  <si>
    <t>KS127</t>
  </si>
  <si>
    <t>KS128</t>
  </si>
  <si>
    <t>BS101</t>
  </si>
  <si>
    <t>BS102</t>
  </si>
  <si>
    <t>BS103</t>
  </si>
  <si>
    <t>BS104</t>
  </si>
  <si>
    <t>BS105</t>
  </si>
  <si>
    <t>BS106</t>
  </si>
  <si>
    <t>BS107</t>
  </si>
  <si>
    <t>BK117</t>
  </si>
  <si>
    <t>BK118</t>
  </si>
  <si>
    <t>BK119</t>
  </si>
  <si>
    <t>BK120</t>
  </si>
  <si>
    <t>BK121</t>
  </si>
  <si>
    <t>BK122</t>
  </si>
  <si>
    <t>BK123</t>
  </si>
  <si>
    <t>BK124</t>
  </si>
  <si>
    <t>BK125</t>
  </si>
  <si>
    <t>BS108</t>
  </si>
  <si>
    <t>BS109</t>
  </si>
  <si>
    <t>BS110</t>
  </si>
  <si>
    <t>BS111</t>
  </si>
  <si>
    <t>BS112</t>
  </si>
  <si>
    <t>BS113</t>
  </si>
  <si>
    <t>BS114</t>
  </si>
  <si>
    <t>BS201</t>
  </si>
  <si>
    <t>BS202</t>
  </si>
  <si>
    <t>BS203</t>
  </si>
  <si>
    <t>BS204</t>
  </si>
  <si>
    <t>BS205</t>
  </si>
  <si>
    <t>BS206</t>
  </si>
  <si>
    <t>BS207</t>
  </si>
  <si>
    <t>BS208</t>
  </si>
  <si>
    <t>BS209</t>
  </si>
  <si>
    <t>BS210</t>
  </si>
  <si>
    <t>BS211</t>
  </si>
  <si>
    <t>BS212</t>
  </si>
  <si>
    <t>BS301</t>
  </si>
  <si>
    <t>BS302</t>
  </si>
  <si>
    <t>BS303</t>
  </si>
  <si>
    <t>BS304</t>
  </si>
  <si>
    <t>BS305</t>
  </si>
  <si>
    <t>BS306</t>
  </si>
  <si>
    <t>BS307</t>
  </si>
  <si>
    <t>BS308</t>
  </si>
  <si>
    <t>Sölumaður</t>
  </si>
  <si>
    <t>Ægir</t>
  </si>
  <si>
    <t>VA01</t>
  </si>
  <si>
    <t>BK126</t>
  </si>
  <si>
    <t>BK127</t>
  </si>
  <si>
    <t>BK128</t>
  </si>
  <si>
    <t>BK129</t>
  </si>
  <si>
    <t>BK130</t>
  </si>
  <si>
    <t>BK131</t>
  </si>
  <si>
    <t>BK132</t>
  </si>
  <si>
    <t>BK133</t>
  </si>
  <si>
    <t>BK134</t>
  </si>
  <si>
    <t>BK135</t>
  </si>
  <si>
    <t>BK136</t>
  </si>
  <si>
    <t>BS412</t>
  </si>
  <si>
    <t>BS411</t>
  </si>
  <si>
    <t>BS410</t>
  </si>
  <si>
    <t>BS409</t>
  </si>
  <si>
    <t>BS408</t>
  </si>
  <si>
    <t>BS407</t>
  </si>
  <si>
    <t>BS406</t>
  </si>
  <si>
    <t>BS405</t>
  </si>
  <si>
    <t>BS404</t>
  </si>
  <si>
    <t>BS403</t>
  </si>
  <si>
    <t>BS402</t>
  </si>
  <si>
    <t>BS401</t>
  </si>
  <si>
    <t>BS318</t>
  </si>
  <si>
    <t>BS317</t>
  </si>
  <si>
    <t>BS316</t>
  </si>
  <si>
    <t>BS315</t>
  </si>
  <si>
    <t>BS314</t>
  </si>
  <si>
    <t>BS313</t>
  </si>
  <si>
    <t>BS312</t>
  </si>
  <si>
    <t>BS311</t>
  </si>
  <si>
    <t>BS310</t>
  </si>
  <si>
    <t>BS309</t>
  </si>
  <si>
    <t>BS213</t>
  </si>
  <si>
    <t>BS214</t>
  </si>
  <si>
    <t>BS215</t>
  </si>
  <si>
    <t>BS115</t>
  </si>
  <si>
    <t>BS116</t>
  </si>
  <si>
    <t>BS117</t>
  </si>
  <si>
    <t>BS118</t>
  </si>
  <si>
    <t>Mynd</t>
  </si>
  <si>
    <t>Rammi</t>
  </si>
  <si>
    <t>BK137</t>
  </si>
  <si>
    <t>BK138</t>
  </si>
  <si>
    <t>LK03</t>
  </si>
  <si>
    <t>KS129</t>
  </si>
  <si>
    <t>Kt:</t>
  </si>
  <si>
    <t>Netfang:</t>
  </si>
  <si>
    <t xml:space="preserve">Lukt/vasi </t>
  </si>
  <si>
    <t>Sími:</t>
  </si>
  <si>
    <t>Nafn:</t>
  </si>
  <si>
    <t>Unnar</t>
  </si>
  <si>
    <t>BK139</t>
  </si>
  <si>
    <t>VK04</t>
  </si>
  <si>
    <t>LK04</t>
  </si>
  <si>
    <t>VASAR</t>
  </si>
  <si>
    <t>Athugasemdir , samtöl</t>
  </si>
  <si>
    <t>Dagsetningar</t>
  </si>
  <si>
    <t>Litur</t>
  </si>
  <si>
    <t>Hvítt</t>
  </si>
  <si>
    <t>Svart</t>
  </si>
  <si>
    <t>Ljósgrátt</t>
  </si>
  <si>
    <t>Grátt</t>
  </si>
  <si>
    <t>Dökkgrátt</t>
  </si>
  <si>
    <t>Gull</t>
  </si>
  <si>
    <t>Enginn litur</t>
  </si>
  <si>
    <t>Kirkjugarður</t>
  </si>
  <si>
    <t>Kópavogur</t>
  </si>
  <si>
    <t>Gufunes</t>
  </si>
  <si>
    <t>Fossvogur</t>
  </si>
  <si>
    <t>Hafnarfjörður</t>
  </si>
  <si>
    <t>Garðakirkja</t>
  </si>
  <si>
    <t>Suðurgata</t>
  </si>
  <si>
    <t>Lágafell-Mos</t>
  </si>
  <si>
    <t>Selfoss</t>
  </si>
  <si>
    <t>Mosfellsdalur</t>
  </si>
  <si>
    <t>Grindavík</t>
  </si>
  <si>
    <t>Njarðvík</t>
  </si>
  <si>
    <t>Keflavík-Nýi</t>
  </si>
  <si>
    <t>Keflavík-Gamli</t>
  </si>
  <si>
    <t>Sandgerði</t>
  </si>
  <si>
    <t>Kotströnd</t>
  </si>
  <si>
    <t>Stokkseyri</t>
  </si>
  <si>
    <t>Þorlákshöfn</t>
  </si>
  <si>
    <t>Akranes</t>
  </si>
  <si>
    <t>Borgarnes</t>
  </si>
  <si>
    <t>BK140</t>
  </si>
  <si>
    <t>BK201</t>
  </si>
  <si>
    <t>BK202</t>
  </si>
  <si>
    <t>BK203</t>
  </si>
  <si>
    <t>BK204</t>
  </si>
  <si>
    <t>BK205</t>
  </si>
  <si>
    <t>BK206</t>
  </si>
  <si>
    <t>BK207</t>
  </si>
  <si>
    <t>BK208</t>
  </si>
  <si>
    <t>BK209</t>
  </si>
  <si>
    <t>BK210</t>
  </si>
  <si>
    <t>BK211</t>
  </si>
  <si>
    <t>BK212</t>
  </si>
  <si>
    <t>BK213</t>
  </si>
  <si>
    <t>BK214</t>
  </si>
  <si>
    <t>BK215</t>
  </si>
  <si>
    <t>BK216</t>
  </si>
  <si>
    <t>BK217</t>
  </si>
  <si>
    <t>BK218</t>
  </si>
  <si>
    <t>BK219</t>
  </si>
  <si>
    <t>BK220</t>
  </si>
  <si>
    <t>BK221</t>
  </si>
  <si>
    <t>BK222</t>
  </si>
  <si>
    <t>BK223</t>
  </si>
  <si>
    <t>BK224</t>
  </si>
  <si>
    <t>BK225</t>
  </si>
  <si>
    <t>BK226</t>
  </si>
  <si>
    <t>BK227</t>
  </si>
  <si>
    <t>BK228</t>
  </si>
  <si>
    <t>BK229</t>
  </si>
  <si>
    <t>BK230</t>
  </si>
  <si>
    <t>BK231</t>
  </si>
  <si>
    <t>BK232</t>
  </si>
  <si>
    <t>BK233</t>
  </si>
  <si>
    <t>BK234</t>
  </si>
  <si>
    <t>BK235</t>
  </si>
  <si>
    <t>BK236</t>
  </si>
  <si>
    <t>BK237</t>
  </si>
  <si>
    <t>BK238</t>
  </si>
  <si>
    <t>BK239</t>
  </si>
  <si>
    <t>BK240</t>
  </si>
  <si>
    <t>BK241</t>
  </si>
  <si>
    <t>BK242</t>
  </si>
  <si>
    <t>BK243</t>
  </si>
  <si>
    <t>BK244</t>
  </si>
  <si>
    <t>BK245</t>
  </si>
  <si>
    <t>BK246</t>
  </si>
  <si>
    <t>BK247</t>
  </si>
  <si>
    <t>BK248</t>
  </si>
  <si>
    <t>BK249</t>
  </si>
  <si>
    <t>BK250</t>
  </si>
  <si>
    <t>BK251</t>
  </si>
  <si>
    <t>BK252</t>
  </si>
  <si>
    <t>BK253</t>
  </si>
  <si>
    <t>KK222</t>
  </si>
  <si>
    <t>KK223</t>
  </si>
  <si>
    <t>KK224</t>
  </si>
  <si>
    <t>KK225</t>
  </si>
  <si>
    <t>KK226</t>
  </si>
  <si>
    <t>KK227</t>
  </si>
  <si>
    <t>KK228</t>
  </si>
  <si>
    <t>KK229</t>
  </si>
  <si>
    <t>KK230</t>
  </si>
  <si>
    <t>KK231</t>
  </si>
  <si>
    <t>KK232</t>
  </si>
  <si>
    <t>KK233</t>
  </si>
  <si>
    <t>KK234</t>
  </si>
  <si>
    <t>KK235</t>
  </si>
  <si>
    <t>KK236</t>
  </si>
  <si>
    <t>KK237</t>
  </si>
  <si>
    <t>KK238</t>
  </si>
  <si>
    <t>KK239</t>
  </si>
  <si>
    <t>BS119</t>
  </si>
  <si>
    <t>BS120</t>
  </si>
  <si>
    <t>BS121</t>
  </si>
  <si>
    <t>BS122</t>
  </si>
  <si>
    <t>BS123</t>
  </si>
  <si>
    <t>BS124</t>
  </si>
  <si>
    <t>BS216</t>
  </si>
  <si>
    <t>BS319</t>
  </si>
  <si>
    <t>BS320</t>
  </si>
  <si>
    <t>BS321</t>
  </si>
  <si>
    <t>BS322</t>
  </si>
  <si>
    <t>BS323</t>
  </si>
  <si>
    <t>KS130</t>
  </si>
  <si>
    <t>KS131</t>
  </si>
  <si>
    <t>KS132</t>
  </si>
  <si>
    <t>RG01</t>
  </si>
  <si>
    <t>RK01</t>
  </si>
  <si>
    <t>RK02</t>
  </si>
  <si>
    <t>RK03</t>
  </si>
  <si>
    <t>RK04</t>
  </si>
  <si>
    <t>RK05</t>
  </si>
  <si>
    <t>FK01</t>
  </si>
  <si>
    <t>FK02</t>
  </si>
  <si>
    <t>FK03</t>
  </si>
  <si>
    <t>FH01</t>
  </si>
  <si>
    <t>FH02</t>
  </si>
  <si>
    <t>FH03</t>
  </si>
  <si>
    <t>DÚFUR</t>
  </si>
  <si>
    <t>SPÖRF.</t>
  </si>
  <si>
    <t>FK04</t>
  </si>
  <si>
    <t>FK05</t>
  </si>
  <si>
    <t>FK06</t>
  </si>
  <si>
    <t>ÞRESTIR</t>
  </si>
  <si>
    <t>FK07</t>
  </si>
  <si>
    <t>FK08</t>
  </si>
  <si>
    <t>FK09</t>
  </si>
  <si>
    <t>FH07</t>
  </si>
  <si>
    <t>FH08</t>
  </si>
  <si>
    <t>FH09</t>
  </si>
  <si>
    <t>FG07</t>
  </si>
  <si>
    <t>FG08</t>
  </si>
  <si>
    <t>FG09</t>
  </si>
  <si>
    <t>FS07</t>
  </si>
  <si>
    <t>FS08</t>
  </si>
  <si>
    <t>FS09</t>
  </si>
  <si>
    <t>LS01</t>
  </si>
  <si>
    <t>LS02</t>
  </si>
  <si>
    <t>VK06</t>
  </si>
  <si>
    <t>VK07</t>
  </si>
  <si>
    <t>VA03</t>
  </si>
  <si>
    <t>VS01</t>
  </si>
  <si>
    <t>U.STEINAR</t>
  </si>
  <si>
    <t>SS150</t>
  </si>
  <si>
    <t>ANNAÐ</t>
  </si>
  <si>
    <t>GRANÍT</t>
  </si>
  <si>
    <t>H101</t>
  </si>
  <si>
    <t xml:space="preserve">H201 </t>
  </si>
  <si>
    <t>H102</t>
  </si>
  <si>
    <t>H118</t>
  </si>
  <si>
    <t>H240</t>
  </si>
  <si>
    <t>H515</t>
  </si>
  <si>
    <t>ST.BERG</t>
  </si>
  <si>
    <t>SB</t>
  </si>
  <si>
    <t>BG</t>
  </si>
  <si>
    <t>NA</t>
  </si>
  <si>
    <t>DG</t>
  </si>
  <si>
    <t>LG</t>
  </si>
  <si>
    <t>IB</t>
  </si>
  <si>
    <t>BB</t>
  </si>
  <si>
    <t>BP</t>
  </si>
  <si>
    <t>BA</t>
  </si>
  <si>
    <t>PA</t>
  </si>
  <si>
    <t>RT</t>
  </si>
  <si>
    <t>MR</t>
  </si>
  <si>
    <t>PR</t>
  </si>
  <si>
    <t>IR</t>
  </si>
  <si>
    <t>VA</t>
  </si>
  <si>
    <t>AW</t>
  </si>
  <si>
    <t>KW</t>
  </si>
  <si>
    <t>IW</t>
  </si>
  <si>
    <t>WP</t>
  </si>
  <si>
    <t>Sökkulplata</t>
  </si>
  <si>
    <t>Fræsing</t>
  </si>
  <si>
    <t>Kubbur</t>
  </si>
  <si>
    <t>Akstur</t>
  </si>
  <si>
    <t>Möl+Dúk</t>
  </si>
  <si>
    <t>SS85*35</t>
  </si>
  <si>
    <t>SS60*35</t>
  </si>
  <si>
    <t>Undirst.sett</t>
  </si>
  <si>
    <t>GS-Undirst.sett</t>
  </si>
  <si>
    <t>Brjánn</t>
  </si>
  <si>
    <t>STUS50</t>
  </si>
  <si>
    <t>STU060</t>
  </si>
  <si>
    <t>STU070</t>
  </si>
  <si>
    <t>STUS80</t>
  </si>
  <si>
    <t>STU090</t>
  </si>
  <si>
    <t>STU100</t>
  </si>
  <si>
    <t>STU110</t>
  </si>
  <si>
    <t>STU120</t>
  </si>
  <si>
    <t>STU130</t>
  </si>
  <si>
    <t>STU140</t>
  </si>
  <si>
    <t>STU150</t>
  </si>
  <si>
    <t>STU160</t>
  </si>
  <si>
    <t>STU170</t>
  </si>
  <si>
    <t>STU180</t>
  </si>
  <si>
    <t>STU190</t>
  </si>
  <si>
    <t>STU200</t>
  </si>
  <si>
    <t>STU210</t>
  </si>
  <si>
    <t>STUN01</t>
  </si>
  <si>
    <t>STUN02</t>
  </si>
  <si>
    <t>STUN03</t>
  </si>
  <si>
    <t>Verðbreytingar</t>
  </si>
  <si>
    <t>Gamla verð</t>
  </si>
  <si>
    <t>Nýja verð</t>
  </si>
  <si>
    <t>Prósenta</t>
  </si>
  <si>
    <t>Skreyting</t>
  </si>
  <si>
    <t>LK01</t>
  </si>
  <si>
    <t>VK01</t>
  </si>
  <si>
    <t>Vigfús</t>
  </si>
  <si>
    <t>Ásgeir</t>
  </si>
  <si>
    <t>Tilboð</t>
  </si>
  <si>
    <t>Dagsetning:</t>
  </si>
  <si>
    <t>Afhending:</t>
  </si>
  <si>
    <t>Heimili:</t>
  </si>
  <si>
    <t>Krissa</t>
  </si>
  <si>
    <t>Afsláttur</t>
  </si>
  <si>
    <t>-</t>
  </si>
  <si>
    <t>Áletrun:</t>
  </si>
  <si>
    <t>Athugasemdir:</t>
  </si>
  <si>
    <t>Heildarverð</t>
  </si>
  <si>
    <t>Kirkjugarður:</t>
  </si>
  <si>
    <t xml:space="preserve">   Blómarammi</t>
  </si>
  <si>
    <t>Innborgun</t>
  </si>
  <si>
    <t>VG02</t>
  </si>
  <si>
    <t>LG01</t>
  </si>
  <si>
    <t>LG03</t>
  </si>
  <si>
    <t>LG04</t>
  </si>
  <si>
    <t>LK08</t>
  </si>
  <si>
    <t>VG01</t>
  </si>
  <si>
    <t>VG03</t>
  </si>
  <si>
    <t>VG04</t>
  </si>
  <si>
    <t>Þrif</t>
  </si>
  <si>
    <t>H202</t>
  </si>
  <si>
    <t>H103</t>
  </si>
  <si>
    <t>H203</t>
  </si>
  <si>
    <t>H104</t>
  </si>
  <si>
    <t>H204</t>
  </si>
  <si>
    <t>H205</t>
  </si>
  <si>
    <t>H181</t>
  </si>
  <si>
    <t>H209</t>
  </si>
  <si>
    <t>H210</t>
  </si>
  <si>
    <t>H111</t>
  </si>
  <si>
    <t>H113</t>
  </si>
  <si>
    <t>H213</t>
  </si>
  <si>
    <t>H114</t>
  </si>
  <si>
    <t>H215</t>
  </si>
  <si>
    <t>H216</t>
  </si>
  <si>
    <t>H119</t>
  </si>
  <si>
    <t>H219</t>
  </si>
  <si>
    <t>H120</t>
  </si>
  <si>
    <t>H220</t>
  </si>
  <si>
    <t>H124</t>
  </si>
  <si>
    <t>H224</t>
  </si>
  <si>
    <t>H226</t>
  </si>
  <si>
    <t>H127</t>
  </si>
  <si>
    <t>H228</t>
  </si>
  <si>
    <t>H129</t>
  </si>
  <si>
    <t>H131</t>
  </si>
  <si>
    <t>H168</t>
  </si>
  <si>
    <t>H170</t>
  </si>
  <si>
    <t>H172</t>
  </si>
  <si>
    <t>H173</t>
  </si>
  <si>
    <t>H192</t>
  </si>
  <si>
    <t>H292</t>
  </si>
  <si>
    <t>H252</t>
  </si>
  <si>
    <t>H254</t>
  </si>
  <si>
    <t>H256</t>
  </si>
  <si>
    <t>H260</t>
  </si>
  <si>
    <t>H266</t>
  </si>
  <si>
    <t>H364</t>
  </si>
  <si>
    <t>H509</t>
  </si>
  <si>
    <t>H410</t>
  </si>
  <si>
    <t>H411</t>
  </si>
  <si>
    <t>H513</t>
  </si>
  <si>
    <t>H555</t>
  </si>
  <si>
    <t>H250</t>
  </si>
  <si>
    <t>H281</t>
  </si>
  <si>
    <t>Próförk</t>
  </si>
  <si>
    <t>Málun</t>
  </si>
  <si>
    <t>H605</t>
  </si>
  <si>
    <t>H101-2</t>
  </si>
  <si>
    <t>RS06</t>
  </si>
  <si>
    <t>Hörður Kristjánsson</t>
  </si>
  <si>
    <t>f.17.04.51 d.15.01.25</t>
  </si>
  <si>
    <t xml:space="preserve">Minning þín lifir </t>
  </si>
  <si>
    <t>Kringla</t>
  </si>
  <si>
    <t>Selma Harðardóttir</t>
  </si>
  <si>
    <t>Guðrún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</si>
</sst>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&quot;kr.&quot;;[Red]\-#,##0.00\ &quot;kr.&quot;"/>
    <numFmt numFmtId="165" formatCode="_-* #,##0.00\ &quot;kr.&quot;_-;\-* #,##0.00\ &quot;kr.&quot;_-;_-* &quot;-&quot;??\ &quot;kr.&quot;_-;_-@_-"/>
    <numFmt numFmtId="166" formatCode="#,##0.00\ &quot;kr.&quot;"/>
    <numFmt numFmtId="167" formatCode="0;\-0;;@"/>
    <numFmt numFmtId="168" formatCode="#,##0.00\ &quot;kr.&quot;;\-#,##0.00\ &quot;kr.&quot;;;@"/>
    <numFmt numFmtId="169" formatCode="#,##0.00\ &quot;kr.&quot;;\-#,##0.00;;@"/>
    <numFmt numFmtId="170" formatCode="#,###;;@"/>
  </numFmts>
  <fonts count="2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2"/>
      <name val="Arial"/>
      <family val="2"/>
    </font>
    <font>
      <sz val="10"/>
      <color indexed="11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rgb="FF00B05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dotted">
        <color indexed="22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dotted">
        <color indexed="22"/>
      </top>
      <bottom style="dotted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/>
      <bottom style="double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/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4" fillId="0" borderId="0"/>
    <xf numFmtId="0" fontId="20" fillId="0" borderId="0" applyNumberFormat="0" applyFill="0" applyBorder="0" applyAlignment="0" applyProtection="0"/>
  </cellStyleXfs>
  <cellXfs count="143">
    <xf numFmtId="0" fontId="0" fillId="0" borderId="0" xfId="0"/>
    <xf numFmtId="0" fontId="0" fillId="2" borderId="0" xfId="0" applyFill="1"/>
    <xf numFmtId="0" fontId="0" fillId="3" borderId="0" xfId="0" applyFill="1"/>
    <xf numFmtId="0" fontId="3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vertical="top"/>
    </xf>
    <xf numFmtId="0" fontId="7" fillId="2" borderId="0" xfId="0" applyFont="1" applyFill="1" applyAlignment="1">
      <alignment horizontal="center" vertical="top"/>
    </xf>
    <xf numFmtId="0" fontId="8" fillId="4" borderId="0" xfId="0" applyFont="1" applyFill="1"/>
    <xf numFmtId="0" fontId="5" fillId="3" borderId="0" xfId="0" applyFont="1" applyFill="1"/>
    <xf numFmtId="0" fontId="2" fillId="3" borderId="0" xfId="0" applyFont="1" applyFill="1"/>
    <xf numFmtId="0" fontId="5" fillId="0" borderId="0" xfId="0" applyFont="1"/>
    <xf numFmtId="0" fontId="8" fillId="4" borderId="2" xfId="0" applyFont="1" applyFill="1" applyBorder="1"/>
    <xf numFmtId="0" fontId="8" fillId="4" borderId="3" xfId="0" applyFont="1" applyFill="1" applyBorder="1"/>
    <xf numFmtId="165" fontId="5" fillId="0" borderId="3" xfId="1" applyFont="1" applyFill="1" applyBorder="1"/>
    <xf numFmtId="165" fontId="5" fillId="0" borderId="5" xfId="1" applyFont="1" applyFill="1" applyBorder="1"/>
    <xf numFmtId="0" fontId="5" fillId="0" borderId="2" xfId="0" applyFont="1" applyBorder="1"/>
    <xf numFmtId="0" fontId="5" fillId="0" borderId="4" xfId="0" applyFont="1" applyBorder="1"/>
    <xf numFmtId="0" fontId="5" fillId="0" borderId="5" xfId="0" applyFont="1" applyBorder="1"/>
    <xf numFmtId="0" fontId="8" fillId="4" borderId="6" xfId="0" applyFont="1" applyFill="1" applyBorder="1"/>
    <xf numFmtId="0" fontId="9" fillId="0" borderId="6" xfId="2" applyFont="1" applyBorder="1" applyAlignment="1">
      <alignment wrapText="1"/>
    </xf>
    <xf numFmtId="0" fontId="9" fillId="0" borderId="7" xfId="2" applyFont="1" applyBorder="1" applyAlignment="1">
      <alignment wrapText="1"/>
    </xf>
    <xf numFmtId="165" fontId="5" fillId="0" borderId="6" xfId="1" applyFont="1" applyFill="1" applyBorder="1"/>
    <xf numFmtId="165" fontId="5" fillId="0" borderId="7" xfId="1" applyFont="1" applyFill="1" applyBorder="1"/>
    <xf numFmtId="0" fontId="10" fillId="2" borderId="0" xfId="0" applyFont="1" applyFill="1"/>
    <xf numFmtId="0" fontId="10" fillId="2" borderId="0" xfId="0" applyFont="1" applyFill="1" applyAlignment="1">
      <alignment horizontal="left"/>
    </xf>
    <xf numFmtId="0" fontId="5" fillId="3" borderId="8" xfId="0" applyFont="1" applyFill="1" applyBorder="1"/>
    <xf numFmtId="0" fontId="5" fillId="3" borderId="9" xfId="0" applyFont="1" applyFill="1" applyBorder="1"/>
    <xf numFmtId="0" fontId="5" fillId="0" borderId="10" xfId="0" applyFont="1" applyBorder="1"/>
    <xf numFmtId="165" fontId="5" fillId="0" borderId="11" xfId="1" applyFont="1" applyFill="1" applyBorder="1"/>
    <xf numFmtId="165" fontId="5" fillId="0" borderId="12" xfId="1" applyFont="1" applyFill="1" applyBorder="1"/>
    <xf numFmtId="0" fontId="5" fillId="0" borderId="13" xfId="0" applyFont="1" applyBorder="1"/>
    <xf numFmtId="0" fontId="5" fillId="3" borderId="11" xfId="0" applyFont="1" applyFill="1" applyBorder="1"/>
    <xf numFmtId="0" fontId="5" fillId="0" borderId="14" xfId="0" applyFont="1" applyBorder="1"/>
    <xf numFmtId="165" fontId="5" fillId="0" borderId="10" xfId="1" applyFont="1" applyFill="1" applyBorder="1"/>
    <xf numFmtId="0" fontId="1" fillId="0" borderId="0" xfId="0" applyFont="1"/>
    <xf numFmtId="0" fontId="1" fillId="0" borderId="2" xfId="0" applyFont="1" applyBorder="1"/>
    <xf numFmtId="0" fontId="4" fillId="0" borderId="6" xfId="2" applyBorder="1" applyAlignment="1">
      <alignment wrapText="1"/>
    </xf>
    <xf numFmtId="0" fontId="11" fillId="0" borderId="2" xfId="0" applyFont="1" applyBorder="1"/>
    <xf numFmtId="165" fontId="1" fillId="0" borderId="6" xfId="1" applyFont="1" applyFill="1" applyBorder="1"/>
    <xf numFmtId="165" fontId="1" fillId="0" borderId="7" xfId="1" applyFont="1" applyFill="1" applyBorder="1"/>
    <xf numFmtId="0" fontId="5" fillId="0" borderId="33" xfId="0" applyFont="1" applyBorder="1"/>
    <xf numFmtId="0" fontId="1" fillId="0" borderId="33" xfId="0" applyFont="1" applyBorder="1"/>
    <xf numFmtId="0" fontId="5" fillId="0" borderId="34" xfId="0" applyFont="1" applyBorder="1"/>
    <xf numFmtId="0" fontId="1" fillId="0" borderId="34" xfId="0" applyFont="1" applyBorder="1"/>
    <xf numFmtId="0" fontId="1" fillId="0" borderId="4" xfId="0" applyFont="1" applyBorder="1"/>
    <xf numFmtId="0" fontId="11" fillId="0" borderId="34" xfId="0" applyFont="1" applyBorder="1"/>
    <xf numFmtId="0" fontId="4" fillId="0" borderId="35" xfId="2" applyBorder="1" applyAlignment="1">
      <alignment wrapText="1"/>
    </xf>
    <xf numFmtId="165" fontId="1" fillId="0" borderId="3" xfId="1" applyFont="1" applyFill="1" applyBorder="1"/>
    <xf numFmtId="0" fontId="4" fillId="0" borderId="2" xfId="2" applyBorder="1" applyAlignment="1">
      <alignment wrapText="1"/>
    </xf>
    <xf numFmtId="1" fontId="0" fillId="0" borderId="37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31" xfId="0" applyFont="1" applyBorder="1"/>
    <xf numFmtId="0" fontId="0" fillId="0" borderId="31" xfId="0" applyBorder="1"/>
    <xf numFmtId="0" fontId="1" fillId="0" borderId="31" xfId="0" applyFont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15" fillId="3" borderId="11" xfId="0" applyFont="1" applyFill="1" applyBorder="1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left"/>
    </xf>
    <xf numFmtId="166" fontId="1" fillId="2" borderId="0" xfId="0" applyNumberFormat="1" applyFont="1" applyFill="1" applyAlignment="1">
      <alignment wrapText="1"/>
    </xf>
    <xf numFmtId="0" fontId="2" fillId="2" borderId="0" xfId="0" applyFont="1" applyFill="1" applyAlignment="1">
      <alignment horizontal="right"/>
    </xf>
    <xf numFmtId="0" fontId="1" fillId="2" borderId="1" xfId="0" applyFont="1" applyFill="1" applyBorder="1" applyAlignment="1" applyProtection="1">
      <alignment horizontal="right"/>
      <protection locked="0"/>
    </xf>
    <xf numFmtId="0" fontId="1" fillId="2" borderId="36" xfId="0" applyFont="1" applyFill="1" applyBorder="1" applyAlignment="1" applyProtection="1">
      <alignment horizontal="right"/>
      <protection locked="0"/>
    </xf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  <xf numFmtId="170" fontId="1" fillId="2" borderId="1" xfId="0" applyNumberFormat="1" applyFont="1" applyFill="1" applyBorder="1" applyAlignment="1" applyProtection="1">
      <alignment horizontal="right"/>
      <protection locked="0"/>
    </xf>
    <xf numFmtId="0" fontId="1" fillId="2" borderId="0" xfId="0" applyFont="1" applyFill="1" applyAlignment="1">
      <alignment vertical="top"/>
    </xf>
    <xf numFmtId="0" fontId="16" fillId="2" borderId="0" xfId="0" applyFont="1" applyFill="1" applyAlignment="1">
      <alignment horizontal="right" vertical="top"/>
    </xf>
    <xf numFmtId="0" fontId="17" fillId="2" borderId="0" xfId="0" applyFont="1" applyFill="1" applyAlignment="1">
      <alignment horizontal="right" vertical="top"/>
    </xf>
    <xf numFmtId="0" fontId="1" fillId="5" borderId="0" xfId="0" applyFont="1" applyFill="1"/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right" vertical="top"/>
    </xf>
    <xf numFmtId="0" fontId="1" fillId="2" borderId="1" xfId="0" applyFont="1" applyFill="1" applyBorder="1"/>
    <xf numFmtId="165" fontId="1" fillId="0" borderId="6" xfId="1" applyFont="1" applyFill="1" applyBorder="1" applyAlignment="1">
      <alignment horizontal="center"/>
    </xf>
    <xf numFmtId="165" fontId="1" fillId="0" borderId="6" xfId="1" applyFont="1" applyFill="1" applyBorder="1" applyAlignment="1"/>
    <xf numFmtId="0" fontId="4" fillId="0" borderId="7" xfId="2" applyBorder="1" applyAlignment="1">
      <alignment wrapText="1"/>
    </xf>
    <xf numFmtId="0" fontId="0" fillId="5" borderId="0" xfId="0" applyFill="1"/>
    <xf numFmtId="0" fontId="2" fillId="2" borderId="0" xfId="0" applyFont="1" applyFill="1" applyAlignment="1">
      <alignment horizontal="right" wrapText="1"/>
    </xf>
    <xf numFmtId="0" fontId="2" fillId="5" borderId="0" xfId="0" applyFont="1" applyFill="1"/>
    <xf numFmtId="14" fontId="1" fillId="2" borderId="0" xfId="0" applyNumberFormat="1" applyFont="1" applyFill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2" fillId="2" borderId="0" xfId="0" applyFont="1" applyFill="1" applyProtection="1">
      <protection locked="0"/>
    </xf>
    <xf numFmtId="0" fontId="2" fillId="2" borderId="1" xfId="0" applyFont="1" applyFill="1" applyBorder="1" applyAlignment="1" applyProtection="1">
      <alignment horizontal="right"/>
      <protection locked="0"/>
    </xf>
    <xf numFmtId="49" fontId="1" fillId="2" borderId="21" xfId="0" applyNumberFormat="1" applyFont="1" applyFill="1" applyBorder="1" applyAlignment="1" applyProtection="1">
      <alignment horizontal="left"/>
      <protection locked="0"/>
    </xf>
    <xf numFmtId="49" fontId="1" fillId="2" borderId="0" xfId="0" applyNumberFormat="1" applyFont="1" applyFill="1" applyAlignment="1" applyProtection="1">
      <alignment horizontal="left"/>
      <protection locked="0"/>
    </xf>
    <xf numFmtId="49" fontId="1" fillId="2" borderId="22" xfId="0" applyNumberFormat="1" applyFont="1" applyFill="1" applyBorder="1" applyAlignment="1" applyProtection="1">
      <alignment horizontal="left"/>
      <protection locked="0"/>
    </xf>
    <xf numFmtId="165" fontId="1" fillId="2" borderId="15" xfId="1" applyFont="1" applyFill="1" applyBorder="1" applyAlignment="1" applyProtection="1">
      <alignment horizontal="right" wrapText="1"/>
    </xf>
    <xf numFmtId="49" fontId="1" fillId="2" borderId="16" xfId="0" applyNumberFormat="1" applyFont="1" applyFill="1" applyBorder="1" applyAlignment="1" applyProtection="1">
      <alignment horizontal="center" wrapText="1"/>
      <protection locked="0"/>
    </xf>
    <xf numFmtId="49" fontId="1" fillId="0" borderId="17" xfId="0" applyNumberFormat="1" applyFont="1" applyBorder="1" applyAlignment="1" applyProtection="1">
      <alignment horizontal="center" wrapText="1"/>
      <protection locked="0"/>
    </xf>
    <xf numFmtId="49" fontId="1" fillId="0" borderId="18" xfId="0" applyNumberFormat="1" applyFont="1" applyBorder="1" applyAlignment="1" applyProtection="1">
      <alignment horizontal="center" wrapText="1"/>
      <protection locked="0"/>
    </xf>
    <xf numFmtId="14" fontId="1" fillId="2" borderId="0" xfId="0" applyNumberFormat="1" applyFont="1" applyFill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wrapText="1"/>
      <protection locked="0"/>
    </xf>
    <xf numFmtId="49" fontId="1" fillId="2" borderId="0" xfId="0" applyNumberFormat="1" applyFont="1" applyFill="1" applyAlignment="1" applyProtection="1">
      <alignment horizontal="left" wrapText="1"/>
      <protection locked="0"/>
    </xf>
    <xf numFmtId="49" fontId="1" fillId="2" borderId="19" xfId="0" applyNumberFormat="1" applyFont="1" applyFill="1" applyBorder="1" applyAlignment="1" applyProtection="1">
      <alignment horizontal="center" wrapText="1"/>
      <protection locked="0"/>
    </xf>
    <xf numFmtId="49" fontId="1" fillId="2" borderId="0" xfId="0" applyNumberFormat="1" applyFont="1" applyFill="1" applyAlignment="1" applyProtection="1">
      <alignment horizontal="center" wrapText="1"/>
      <protection locked="0"/>
    </xf>
    <xf numFmtId="49" fontId="1" fillId="2" borderId="20" xfId="0" applyNumberFormat="1" applyFont="1" applyFill="1" applyBorder="1" applyAlignment="1" applyProtection="1">
      <alignment horizontal="center" wrapText="1"/>
      <protection locked="0"/>
    </xf>
    <xf numFmtId="167" fontId="1" fillId="2" borderId="15" xfId="0" applyNumberFormat="1" applyFont="1" applyFill="1" applyBorder="1" applyAlignment="1">
      <alignment horizontal="left" wrapText="1"/>
    </xf>
    <xf numFmtId="49" fontId="1" fillId="2" borderId="30" xfId="0" applyNumberFormat="1" applyFont="1" applyFill="1" applyBorder="1" applyAlignment="1" applyProtection="1">
      <alignment horizontal="center" wrapText="1"/>
      <protection locked="0"/>
    </xf>
    <xf numFmtId="49" fontId="1" fillId="0" borderId="31" xfId="0" applyNumberFormat="1" applyFont="1" applyBorder="1" applyAlignment="1" applyProtection="1">
      <alignment horizontal="center" wrapText="1"/>
      <protection locked="0"/>
    </xf>
    <xf numFmtId="49" fontId="1" fillId="0" borderId="32" xfId="0" applyNumberFormat="1" applyFont="1" applyBorder="1" applyAlignment="1" applyProtection="1">
      <alignment horizontal="center" wrapText="1"/>
      <protection locked="0"/>
    </xf>
    <xf numFmtId="0" fontId="1" fillId="2" borderId="1" xfId="0" applyFont="1" applyFill="1" applyBorder="1" applyAlignment="1" applyProtection="1">
      <alignment wrapText="1"/>
      <protection locked="0"/>
    </xf>
    <xf numFmtId="169" fontId="1" fillId="2" borderId="15" xfId="1" applyNumberFormat="1" applyFont="1" applyFill="1" applyBorder="1" applyAlignment="1" applyProtection="1">
      <alignment horizontal="right" wrapText="1"/>
    </xf>
    <xf numFmtId="0" fontId="2" fillId="2" borderId="0" xfId="0" applyFont="1" applyFill="1" applyAlignment="1">
      <alignment horizontal="right"/>
    </xf>
    <xf numFmtId="165" fontId="1" fillId="2" borderId="1" xfId="1" applyFont="1" applyFill="1" applyBorder="1" applyAlignment="1" applyProtection="1">
      <alignment horizontal="right" vertical="top" wrapText="1"/>
      <protection locked="0"/>
    </xf>
    <xf numFmtId="168" fontId="2" fillId="2" borderId="26" xfId="1" applyNumberFormat="1" applyFont="1" applyFill="1" applyBorder="1" applyAlignment="1" applyProtection="1">
      <alignment horizontal="right" vertical="top" wrapText="1"/>
    </xf>
    <xf numFmtId="165" fontId="2" fillId="2" borderId="15" xfId="1" applyFont="1" applyFill="1" applyBorder="1" applyAlignment="1" applyProtection="1">
      <alignment horizontal="right" wrapText="1"/>
    </xf>
    <xf numFmtId="164" fontId="1" fillId="2" borderId="1" xfId="1" applyNumberFormat="1" applyFont="1" applyFill="1" applyBorder="1" applyAlignment="1" applyProtection="1">
      <alignment horizontal="right" vertical="top" wrapText="1"/>
      <protection locked="0"/>
    </xf>
    <xf numFmtId="0" fontId="18" fillId="2" borderId="0" xfId="0" applyFont="1" applyFill="1" applyAlignment="1">
      <alignment horizontal="right" vertical="center" wrapText="1"/>
    </xf>
    <xf numFmtId="49" fontId="20" fillId="2" borderId="21" xfId="3" applyNumberFormat="1" applyFill="1" applyBorder="1" applyAlignment="1" applyProtection="1">
      <alignment horizontal="left"/>
      <protection locked="0"/>
    </xf>
    <xf numFmtId="49" fontId="1" fillId="0" borderId="0" xfId="0" applyNumberFormat="1" applyFont="1" applyAlignment="1" applyProtection="1">
      <alignment horizontal="center" wrapText="1"/>
      <protection locked="0"/>
    </xf>
    <xf numFmtId="49" fontId="1" fillId="0" borderId="20" xfId="0" applyNumberFormat="1" applyFont="1" applyBorder="1" applyAlignment="1" applyProtection="1">
      <alignment horizontal="center" wrapText="1"/>
      <protection locked="0"/>
    </xf>
    <xf numFmtId="165" fontId="1" fillId="2" borderId="1" xfId="1" applyFont="1" applyFill="1" applyBorder="1" applyAlignment="1" applyProtection="1">
      <alignment horizontal="right" wrapText="1"/>
    </xf>
    <xf numFmtId="49" fontId="1" fillId="2" borderId="27" xfId="0" applyNumberFormat="1" applyFont="1" applyFill="1" applyBorder="1" applyAlignment="1" applyProtection="1">
      <alignment horizontal="left"/>
      <protection locked="0"/>
    </xf>
    <xf numFmtId="49" fontId="1" fillId="2" borderId="28" xfId="0" applyNumberFormat="1" applyFont="1" applyFill="1" applyBorder="1" applyAlignment="1" applyProtection="1">
      <alignment horizontal="left"/>
      <protection locked="0"/>
    </xf>
    <xf numFmtId="49" fontId="1" fillId="2" borderId="29" xfId="0" applyNumberFormat="1" applyFont="1" applyFill="1" applyBorder="1" applyAlignment="1" applyProtection="1">
      <alignment horizontal="left"/>
      <protection locked="0"/>
    </xf>
    <xf numFmtId="0" fontId="2" fillId="5" borderId="0" xfId="0" applyFont="1" applyFill="1" applyAlignment="1">
      <alignment horizontal="right" wrapText="1"/>
    </xf>
    <xf numFmtId="0" fontId="19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2" borderId="21" xfId="0" applyFont="1" applyFill="1" applyBorder="1" applyAlignment="1" applyProtection="1">
      <alignment horizontal="right"/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2" fillId="2" borderId="0" xfId="0" applyFont="1" applyFill="1" applyAlignment="1">
      <alignment horizontal="right" wrapText="1"/>
    </xf>
    <xf numFmtId="0" fontId="2" fillId="5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20" fillId="2" borderId="0" xfId="3" applyFill="1" applyAlignment="1" applyProtection="1">
      <alignment horizontal="left" vertical="center"/>
    </xf>
    <xf numFmtId="0" fontId="21" fillId="2" borderId="0" xfId="0" applyFont="1" applyFill="1" applyAlignment="1">
      <alignment horizontal="left" vertical="center"/>
    </xf>
    <xf numFmtId="166" fontId="1" fillId="2" borderId="0" xfId="0" applyNumberFormat="1" applyFont="1" applyFill="1" applyAlignment="1">
      <alignment wrapText="1"/>
    </xf>
    <xf numFmtId="49" fontId="1" fillId="2" borderId="38" xfId="0" applyNumberFormat="1" applyFont="1" applyFill="1" applyBorder="1" applyAlignment="1" applyProtection="1">
      <alignment horizontal="center" wrapText="1"/>
      <protection locked="0"/>
    </xf>
    <xf numFmtId="49" fontId="1" fillId="0" borderId="39" xfId="0" applyNumberFormat="1" applyFont="1" applyBorder="1" applyAlignment="1" applyProtection="1">
      <alignment horizontal="center" wrapText="1"/>
      <protection locked="0"/>
    </xf>
    <xf numFmtId="49" fontId="1" fillId="0" borderId="40" xfId="0" applyNumberFormat="1" applyFont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center" wrapText="1"/>
    </xf>
    <xf numFmtId="49" fontId="1" fillId="2" borderId="23" xfId="0" applyNumberFormat="1" applyFont="1" applyFill="1" applyBorder="1" applyAlignment="1" applyProtection="1">
      <alignment horizontal="left"/>
      <protection locked="0"/>
    </xf>
    <xf numFmtId="49" fontId="1" fillId="2" borderId="24" xfId="0" applyNumberFormat="1" applyFont="1" applyFill="1" applyBorder="1" applyAlignment="1" applyProtection="1">
      <alignment horizontal="left"/>
      <protection locked="0"/>
    </xf>
    <xf numFmtId="49" fontId="1" fillId="2" borderId="25" xfId="0" applyNumberFormat="1" applyFont="1" applyFill="1" applyBorder="1" applyAlignment="1" applyProtection="1">
      <alignment horizontal="left"/>
      <protection locked="0"/>
    </xf>
    <xf numFmtId="165" fontId="1" fillId="2" borderId="15" xfId="1" applyFont="1" applyFill="1" applyBorder="1" applyAlignment="1" applyProtection="1">
      <alignment horizontal="right" wrapText="1"/>
      <protection locked="0"/>
    </xf>
    <xf numFmtId="0" fontId="8" fillId="4" borderId="0" xfId="0" applyFont="1" applyFill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31" xfId="0" applyFont="1" applyBorder="1" applyAlignment="1">
      <alignment horizontal="center"/>
    </xf>
    <xf numFmtId="0" fontId="13" fillId="0" borderId="0" xfId="0" applyFont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Normal_Verðlisti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2" Type="http://schemas.openxmlformats.org/officeDocument/2006/relationships/image" Target="../media/image2.jp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556000</xdr:colOff>
      <xdr:row>2</xdr:row>
      <xdr:rowOff>169337</xdr:rowOff>
    </xdr:from>
    <xdr:to>
      <xdr:col>5</xdr:col>
      <xdr:colOff>383845</xdr:colOff>
      <xdr:row>6</xdr:row>
      <xdr:rowOff>7904</xdr:rowOff>
    </xdr:to>
    <xdr:pic>
      <xdr:nvPicPr>
        <xdr:cNvPr id="1026" name="Haus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68321" y="490960"/>
          <a:ext cx="2277131" cy="481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610430</xdr:colOff>
      <xdr:row>61</xdr:row>
      <xdr:rowOff>0</xdr:rowOff>
    </xdr:from>
    <xdr:to>
      <xdr:col>13</xdr:col>
      <xdr:colOff>8072</xdr:colOff>
      <xdr:row>65</xdr:row>
      <xdr:rowOff>10029</xdr:rowOff>
    </xdr:to>
    <xdr:pic>
      <xdr:nvPicPr>
        <xdr:cNvPr id="1027" name="Fotur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239" b="8239"/>
        <a:stretch/>
      </xdr:blipFill>
      <xdr:spPr bwMode="auto">
        <a:xfrm>
          <a:off x="610430" y="9896314"/>
          <a:ext cx="6751265" cy="6557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28" name="Mynd1" descr="Mynd1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29" name="Mynd2" descr="Mynd3" hidden="1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0" name="Mynd3" descr="Mynd4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1" name="Mynd4" descr="Mynd6" hidden="1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2" name="Mynd5" descr="Mynd8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3" name="Mynd6" descr="Mynd9" hidden="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4" name="Mynd7" descr="Mynd10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5" name="Mynd8" descr="Mynd11" hidden="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6" name="Mynd9" descr="Mynd1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7" name="Mynd10" descr="Mynd13" hidden="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8" name="Mynd11" descr="Mynd15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39" name="Mynd12" descr="Mynd16" hidden="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40" name="Mynd13" descr="Mynd17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41" name="Mynd14" descr="Mynd18" hidden="1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42" name="Mynd15" descr="Mynd19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43" name="Mynd16" descr="Mynd20" hidden="1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447675</xdr:colOff>
      <xdr:row>53</xdr:row>
      <xdr:rowOff>104775</xdr:rowOff>
    </xdr:from>
    <xdr:to>
      <xdr:col>5</xdr:col>
      <xdr:colOff>542925</xdr:colOff>
      <xdr:row>65</xdr:row>
      <xdr:rowOff>38100</xdr:rowOff>
    </xdr:to>
    <xdr:pic>
      <xdr:nvPicPr>
        <xdr:cNvPr id="1044" name="Mynd17" descr="Mynd22" hidden="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6924675"/>
          <a:ext cx="19240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45" name="Mynd18" descr="Mynd23" hidden="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46" name="Mynd19" descr="Mynd24" hidden="1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47" name="Mynd20" descr="Mynd25" hidden="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600075</xdr:colOff>
      <xdr:row>41</xdr:row>
      <xdr:rowOff>19050</xdr:rowOff>
    </xdr:from>
    <xdr:to>
      <xdr:col>5</xdr:col>
      <xdr:colOff>504825</xdr:colOff>
      <xdr:row>55</xdr:row>
      <xdr:rowOff>47625</xdr:rowOff>
    </xdr:to>
    <xdr:pic>
      <xdr:nvPicPr>
        <xdr:cNvPr id="1048" name="Mynd21" descr="Mynd26" hidden="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6515100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49" name="Mynd22" descr="Mynd27" hidden="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0" name="Mynd23" descr="Mynd28" hidden="1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1" name="Mynd24" descr="Mynd29" hidden="1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2" name="Mynd25" descr="Mynd30" hidden="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3" name="Mynd26" descr="Mynd31" hidden="1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4" name="Mynd27" descr="Mynd32" hidden="1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5" name="Mynd28" descr="H226.jpg" hidden="1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6" name="Mynd29" descr="H127.jpg" hidden="1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7" name="Mynd30" descr="H228.jpg" hidden="1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8" name="Mynd31" descr="H129.jpg" hidden="1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59" name="Mynd32" descr="H130.jpg" hidden="1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60" name="Mynd33" descr="H131.jpg" hidden="1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61" name="Mynd34" descr="H132.jpg" hidden="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62" name="Mynd35" descr="H233.jpg" hidden="1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63" name="Mynd36" descr="H234.jpg" hidden="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28575</xdr:colOff>
      <xdr:row>51</xdr:row>
      <xdr:rowOff>9525</xdr:rowOff>
    </xdr:from>
    <xdr:to>
      <xdr:col>5</xdr:col>
      <xdr:colOff>542925</xdr:colOff>
      <xdr:row>65</xdr:row>
      <xdr:rowOff>38099</xdr:rowOff>
    </xdr:to>
    <xdr:pic>
      <xdr:nvPicPr>
        <xdr:cNvPr id="1064" name="Mynd37" descr="H235.jpg" hidden="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6505575"/>
          <a:ext cx="23431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M65"/>
  <sheetViews>
    <sheetView tabSelected="1" topLeftCell="A40" zoomScale="118" zoomScaleNormal="118" workbookViewId="0">
      <selection activeCell="D52" sqref="D52"/>
    </sheetView>
  </sheetViews>
  <sheetFormatPr baseColWidth="10" defaultColWidth="9.1640625" defaultRowHeight="13" x14ac:dyDescent="0.15"/>
  <cols>
    <col min="1" max="7" width="9.1640625" style="2"/>
    <col min="8" max="8" width="9.1640625" style="2" customWidth="1"/>
    <col min="9" max="9" width="4.1640625" style="2" customWidth="1"/>
    <col min="10" max="10" width="5.6640625" style="2" customWidth="1"/>
    <col min="11" max="11" width="8.5" style="2" customWidth="1"/>
    <col min="12" max="16384" width="9.1640625" style="2"/>
  </cols>
  <sheetData>
    <row r="2" spans="2:13" x14ac:dyDescent="0.1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 x14ac:dyDescent="0.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2:13" ht="12.75" customHeight="1" x14ac:dyDescent="0.15">
      <c r="B4" s="1"/>
      <c r="C4" s="1"/>
      <c r="D4" s="1"/>
      <c r="E4" s="1"/>
      <c r="F4" s="1"/>
      <c r="G4" s="1"/>
      <c r="H4" s="110" t="s">
        <v>420</v>
      </c>
      <c r="I4" s="110"/>
      <c r="J4" s="110"/>
      <c r="K4" s="110"/>
      <c r="L4" s="110"/>
      <c r="M4" s="1"/>
    </row>
    <row r="5" spans="2:13" ht="12.75" customHeight="1" x14ac:dyDescent="0.15">
      <c r="B5" s="1"/>
      <c r="C5" s="1"/>
      <c r="D5" s="1"/>
      <c r="E5" s="1"/>
      <c r="F5" s="1"/>
      <c r="G5" s="1"/>
      <c r="H5" s="110"/>
      <c r="I5" s="110"/>
      <c r="J5" s="110"/>
      <c r="K5" s="110"/>
      <c r="L5" s="110"/>
      <c r="M5" s="1"/>
    </row>
    <row r="6" spans="2:13" ht="12.75" customHeight="1" x14ac:dyDescent="0.15">
      <c r="B6" s="1"/>
      <c r="C6" s="1"/>
      <c r="D6" s="1"/>
      <c r="E6" s="1"/>
      <c r="F6" s="1"/>
      <c r="G6" s="1"/>
      <c r="H6" s="110"/>
      <c r="I6" s="110"/>
      <c r="J6" s="110"/>
      <c r="K6" s="110"/>
      <c r="L6" s="110"/>
      <c r="M6" s="1"/>
    </row>
    <row r="7" spans="2:13" ht="12.75" customHeight="1" x14ac:dyDescent="0.15">
      <c r="B7" s="1"/>
      <c r="C7" s="1"/>
      <c r="D7" s="1"/>
      <c r="E7" s="1"/>
      <c r="F7" s="1"/>
      <c r="G7" s="1"/>
      <c r="H7" s="79"/>
      <c r="I7" s="79"/>
      <c r="J7" s="79"/>
      <c r="K7" s="79"/>
      <c r="L7" s="79"/>
      <c r="M7" s="1"/>
    </row>
    <row r="8" spans="2:13" ht="12.75" customHeight="1" x14ac:dyDescent="0.15">
      <c r="B8" s="1"/>
      <c r="C8" s="1"/>
      <c r="D8" s="1"/>
      <c r="E8" s="1"/>
      <c r="F8" s="1"/>
      <c r="G8" s="1"/>
      <c r="H8" s="118"/>
      <c r="I8" s="118"/>
      <c r="J8" s="118"/>
      <c r="K8" s="79"/>
      <c r="L8" s="79"/>
      <c r="M8" s="1"/>
    </row>
    <row r="9" spans="2:13" x14ac:dyDescent="0.15">
      <c r="B9" s="1"/>
      <c r="C9" s="120" t="s">
        <v>192</v>
      </c>
      <c r="D9" s="119" t="s">
        <v>496</v>
      </c>
      <c r="E9" s="119"/>
      <c r="F9" s="119"/>
      <c r="G9" s="119"/>
      <c r="H9" s="118"/>
      <c r="I9" s="118"/>
      <c r="J9" s="118"/>
      <c r="K9" s="79"/>
      <c r="L9" s="79"/>
      <c r="M9" s="1"/>
    </row>
    <row r="10" spans="2:13" x14ac:dyDescent="0.15">
      <c r="B10" s="1"/>
      <c r="C10" s="120"/>
      <c r="D10" s="119"/>
      <c r="E10" s="119"/>
      <c r="F10" s="119"/>
      <c r="G10" s="119"/>
      <c r="H10" s="80"/>
      <c r="I10" s="80"/>
      <c r="J10" s="80"/>
      <c r="K10" s="82"/>
      <c r="L10" s="83"/>
      <c r="M10" s="1"/>
    </row>
    <row r="11" spans="2:13" x14ac:dyDescent="0.15">
      <c r="B11" s="1"/>
      <c r="C11" s="81" t="s">
        <v>188</v>
      </c>
      <c r="D11" s="121"/>
      <c r="E11" s="121"/>
      <c r="F11" s="121"/>
      <c r="G11" s="121"/>
      <c r="H11" s="124" t="s">
        <v>421</v>
      </c>
      <c r="I11" s="124"/>
      <c r="J11" s="124"/>
      <c r="K11" s="93"/>
      <c r="L11" s="94"/>
      <c r="M11" s="1"/>
    </row>
    <row r="12" spans="2:13" x14ac:dyDescent="0.15">
      <c r="B12" s="1"/>
      <c r="C12" s="60" t="s">
        <v>423</v>
      </c>
      <c r="D12" s="125"/>
      <c r="E12" s="125"/>
      <c r="F12" s="125"/>
      <c r="G12" s="125"/>
      <c r="H12" s="124" t="s">
        <v>422</v>
      </c>
      <c r="I12" s="124"/>
      <c r="J12" s="124"/>
      <c r="K12" s="93"/>
      <c r="L12" s="94"/>
      <c r="M12" s="1"/>
    </row>
    <row r="13" spans="2:13" ht="12.75" customHeight="1" x14ac:dyDescent="0.15">
      <c r="B13" s="1"/>
      <c r="C13" s="81" t="s">
        <v>191</v>
      </c>
      <c r="D13" s="125"/>
      <c r="E13" s="125"/>
      <c r="F13" s="125"/>
      <c r="G13" s="125"/>
      <c r="H13" s="6"/>
      <c r="I13" s="6"/>
      <c r="J13" s="79"/>
      <c r="K13" s="79"/>
      <c r="L13" s="79"/>
      <c r="M13" s="1"/>
    </row>
    <row r="14" spans="2:13" x14ac:dyDescent="0.15">
      <c r="B14" s="1"/>
      <c r="C14" s="81" t="s">
        <v>189</v>
      </c>
      <c r="D14" s="128"/>
      <c r="E14" s="129"/>
      <c r="F14" s="129"/>
      <c r="G14" s="129"/>
      <c r="H14" s="6"/>
      <c r="I14" s="6"/>
      <c r="J14" s="134" t="s">
        <v>430</v>
      </c>
      <c r="K14" s="134"/>
      <c r="L14" s="134"/>
      <c r="M14" s="1"/>
    </row>
    <row r="15" spans="2:13" x14ac:dyDescent="0.15">
      <c r="B15" s="1"/>
      <c r="C15" s="60"/>
      <c r="D15" s="95"/>
      <c r="E15" s="95"/>
      <c r="F15" s="95"/>
      <c r="G15" s="95"/>
      <c r="H15" s="61"/>
      <c r="I15" s="61"/>
      <c r="J15" s="131" t="s">
        <v>210</v>
      </c>
      <c r="K15" s="132"/>
      <c r="L15" s="133"/>
      <c r="M15" s="1"/>
    </row>
    <row r="16" spans="2:13" ht="12.75" customHeight="1" x14ac:dyDescent="0.15">
      <c r="B16" s="1"/>
      <c r="C16" s="126" t="s">
        <v>427</v>
      </c>
      <c r="D16" s="126"/>
      <c r="E16" s="59"/>
      <c r="F16" s="59"/>
      <c r="G16" s="59"/>
      <c r="H16" s="59"/>
      <c r="I16" s="59"/>
      <c r="J16" s="79"/>
      <c r="K16" s="79"/>
      <c r="L16" s="79"/>
      <c r="M16" s="1"/>
    </row>
    <row r="17" spans="2:13" x14ac:dyDescent="0.15">
      <c r="B17" s="1"/>
      <c r="C17" s="127"/>
      <c r="D17" s="127"/>
      <c r="E17" s="61"/>
      <c r="F17" s="61"/>
      <c r="G17" s="61"/>
      <c r="H17" s="61"/>
      <c r="I17" s="61"/>
      <c r="J17" s="62"/>
      <c r="K17" s="130"/>
      <c r="L17" s="130"/>
      <c r="M17" s="1"/>
    </row>
    <row r="18" spans="2:13" x14ac:dyDescent="0.15">
      <c r="B18" s="25">
        <f>LEN(SUBSTITUTE(C18," ",""))</f>
        <v>0</v>
      </c>
      <c r="C18" s="90"/>
      <c r="D18" s="91"/>
      <c r="E18" s="91"/>
      <c r="F18" s="91"/>
      <c r="G18" s="91"/>
      <c r="H18" s="91"/>
      <c r="I18" s="91"/>
      <c r="J18" s="91"/>
      <c r="K18" s="91"/>
      <c r="L18" s="92"/>
      <c r="M18" s="25"/>
    </row>
    <row r="19" spans="2:13" x14ac:dyDescent="0.15">
      <c r="B19" s="25">
        <f t="shared" ref="B19:B27" si="0">LEN(SUBSTITUTE(C19," ",""))</f>
        <v>18</v>
      </c>
      <c r="C19" s="96" t="s">
        <v>492</v>
      </c>
      <c r="D19" s="112"/>
      <c r="E19" s="112"/>
      <c r="F19" s="112"/>
      <c r="G19" s="112"/>
      <c r="H19" s="112"/>
      <c r="I19" s="112"/>
      <c r="J19" s="112"/>
      <c r="K19" s="112"/>
      <c r="L19" s="113"/>
      <c r="M19" s="25"/>
    </row>
    <row r="20" spans="2:13" ht="12.75" customHeight="1" x14ac:dyDescent="0.15">
      <c r="B20" s="25">
        <f t="shared" si="0"/>
        <v>20</v>
      </c>
      <c r="C20" s="96" t="s">
        <v>493</v>
      </c>
      <c r="D20" s="97"/>
      <c r="E20" s="97"/>
      <c r="F20" s="97"/>
      <c r="G20" s="97"/>
      <c r="H20" s="97"/>
      <c r="I20" s="97"/>
      <c r="J20" s="97"/>
      <c r="K20" s="97"/>
      <c r="L20" s="98"/>
      <c r="M20" s="26">
        <f t="shared" ref="M20:M25" si="1">LEN(SUBSTITUTE(H20," ",""))</f>
        <v>0</v>
      </c>
    </row>
    <row r="21" spans="2:13" x14ac:dyDescent="0.15">
      <c r="B21" s="25">
        <f t="shared" si="0"/>
        <v>0</v>
      </c>
      <c r="C21" s="96"/>
      <c r="D21" s="97"/>
      <c r="E21" s="97"/>
      <c r="F21" s="97"/>
      <c r="G21" s="97"/>
      <c r="H21" s="97"/>
      <c r="I21" s="97"/>
      <c r="J21" s="97"/>
      <c r="K21" s="97"/>
      <c r="L21" s="98"/>
      <c r="M21" s="26">
        <f t="shared" si="1"/>
        <v>0</v>
      </c>
    </row>
    <row r="22" spans="2:13" ht="12.75" customHeight="1" x14ac:dyDescent="0.15">
      <c r="B22" s="25">
        <f t="shared" si="0"/>
        <v>15</v>
      </c>
      <c r="C22" s="96" t="s">
        <v>494</v>
      </c>
      <c r="D22" s="97"/>
      <c r="E22" s="97"/>
      <c r="F22" s="97"/>
      <c r="G22" s="97"/>
      <c r="H22" s="97"/>
      <c r="I22" s="97"/>
      <c r="J22" s="97"/>
      <c r="K22" s="97"/>
      <c r="L22" s="98"/>
      <c r="M22" s="26">
        <f t="shared" si="1"/>
        <v>0</v>
      </c>
    </row>
    <row r="23" spans="2:13" ht="12.75" customHeight="1" x14ac:dyDescent="0.15">
      <c r="B23" s="25">
        <f t="shared" si="0"/>
        <v>0</v>
      </c>
      <c r="C23" s="96"/>
      <c r="D23" s="97"/>
      <c r="E23" s="97"/>
      <c r="F23" s="97"/>
      <c r="G23" s="97"/>
      <c r="H23" s="97"/>
      <c r="I23" s="97"/>
      <c r="J23" s="97"/>
      <c r="K23" s="97"/>
      <c r="L23" s="98"/>
      <c r="M23" s="26">
        <f t="shared" si="1"/>
        <v>0</v>
      </c>
    </row>
    <row r="24" spans="2:13" ht="12.75" customHeight="1" x14ac:dyDescent="0.15">
      <c r="B24" s="25">
        <f t="shared" si="0"/>
        <v>0</v>
      </c>
      <c r="C24" s="96"/>
      <c r="D24" s="97"/>
      <c r="E24" s="97"/>
      <c r="F24" s="97"/>
      <c r="G24" s="97"/>
      <c r="H24" s="97"/>
      <c r="I24" s="97"/>
      <c r="J24" s="97"/>
      <c r="K24" s="97"/>
      <c r="L24" s="98"/>
      <c r="M24" s="26">
        <f t="shared" si="1"/>
        <v>0</v>
      </c>
    </row>
    <row r="25" spans="2:13" x14ac:dyDescent="0.15">
      <c r="B25" s="25">
        <f t="shared" si="0"/>
        <v>0</v>
      </c>
      <c r="C25" s="96"/>
      <c r="D25" s="97"/>
      <c r="E25" s="97"/>
      <c r="F25" s="97"/>
      <c r="G25" s="97"/>
      <c r="H25" s="97"/>
      <c r="I25" s="97"/>
      <c r="J25" s="97"/>
      <c r="K25" s="97"/>
      <c r="L25" s="98"/>
      <c r="M25" s="26">
        <f t="shared" si="1"/>
        <v>0</v>
      </c>
    </row>
    <row r="26" spans="2:13" x14ac:dyDescent="0.15">
      <c r="B26" s="25">
        <f t="shared" si="0"/>
        <v>0</v>
      </c>
      <c r="C26" s="96"/>
      <c r="D26" s="112"/>
      <c r="E26" s="112"/>
      <c r="F26" s="112"/>
      <c r="G26" s="112"/>
      <c r="H26" s="112"/>
      <c r="I26" s="112"/>
      <c r="J26" s="112"/>
      <c r="K26" s="112"/>
      <c r="L26" s="113"/>
      <c r="M26" s="26"/>
    </row>
    <row r="27" spans="2:13" x14ac:dyDescent="0.15">
      <c r="B27" s="25">
        <f t="shared" si="0"/>
        <v>0</v>
      </c>
      <c r="C27" s="100"/>
      <c r="D27" s="101"/>
      <c r="E27" s="101"/>
      <c r="F27" s="101"/>
      <c r="G27" s="101"/>
      <c r="H27" s="101"/>
      <c r="I27" s="101"/>
      <c r="J27" s="101"/>
      <c r="K27" s="101"/>
      <c r="L27" s="102"/>
      <c r="M27" s="26"/>
    </row>
    <row r="28" spans="2:13" ht="12.75" customHeight="1" x14ac:dyDescent="0.15">
      <c r="B28" s="25">
        <f>SUM(B18:B27)</f>
        <v>53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26">
        <f>SUM(M20:M25)</f>
        <v>0</v>
      </c>
    </row>
    <row r="29" spans="2:13" x14ac:dyDescent="0.15">
      <c r="B29" s="1"/>
      <c r="C29" s="67" t="s">
        <v>1</v>
      </c>
      <c r="D29" s="103"/>
      <c r="E29" s="103"/>
      <c r="F29" s="59"/>
      <c r="G29" s="63" t="s">
        <v>14</v>
      </c>
      <c r="H29" s="64" t="s">
        <v>451</v>
      </c>
      <c r="I29" s="65" t="s">
        <v>362</v>
      </c>
      <c r="J29" s="66" t="s">
        <v>16</v>
      </c>
      <c r="K29" s="114">
        <f>IF(ISNA(VLOOKUP(H29, STVerð, 2, FALSE)) = TRUE, "", VLOOKUP(H29, STVerð, 2, FALSE))</f>
        <v>172000</v>
      </c>
      <c r="L29" s="114"/>
      <c r="M29" s="1"/>
    </row>
    <row r="30" spans="2:13" x14ac:dyDescent="0.15">
      <c r="B30" s="1"/>
      <c r="C30" s="67" t="s">
        <v>23</v>
      </c>
      <c r="D30" s="99">
        <f>SUM(B28+M28)</f>
        <v>53</v>
      </c>
      <c r="E30" s="99"/>
      <c r="F30" s="59"/>
      <c r="G30" s="63" t="s">
        <v>19</v>
      </c>
      <c r="H30" s="68">
        <v>260</v>
      </c>
      <c r="I30" s="59"/>
      <c r="J30" s="66" t="s">
        <v>16</v>
      </c>
      <c r="K30" s="104">
        <f>D30*H30</f>
        <v>13780</v>
      </c>
      <c r="L30" s="104"/>
      <c r="M30" s="1"/>
    </row>
    <row r="31" spans="2:13" ht="12.75" customHeight="1" x14ac:dyDescent="0.15">
      <c r="B31" s="1"/>
      <c r="C31" s="67" t="s">
        <v>200</v>
      </c>
      <c r="D31" s="103" t="s">
        <v>206</v>
      </c>
      <c r="E31" s="103"/>
      <c r="F31" s="59"/>
      <c r="G31" s="63" t="s">
        <v>15</v>
      </c>
      <c r="H31" s="64" t="s">
        <v>495</v>
      </c>
      <c r="I31" s="59"/>
      <c r="J31" s="66" t="s">
        <v>16</v>
      </c>
      <c r="K31" s="89">
        <v>12900</v>
      </c>
      <c r="L31" s="89"/>
      <c r="M31" s="1"/>
    </row>
    <row r="32" spans="2:13" x14ac:dyDescent="0.15">
      <c r="B32" s="1"/>
      <c r="C32" s="61"/>
      <c r="D32" s="59"/>
      <c r="E32" s="59"/>
      <c r="F32" s="59"/>
      <c r="G32" s="63" t="s">
        <v>190</v>
      </c>
      <c r="H32" s="64"/>
      <c r="I32" s="59"/>
      <c r="J32" s="66" t="s">
        <v>16</v>
      </c>
      <c r="K32" s="89" t="str">
        <f>IF(ISNA(VLOOKUP(H32, LuktirVasarVerð, 2, FALSE)) = TRUE, "", VLOOKUP(H32, LuktirVasarVerð, 2, FALSE))</f>
        <v/>
      </c>
      <c r="L32" s="89"/>
      <c r="M32" s="1"/>
    </row>
    <row r="33" spans="2:13" x14ac:dyDescent="0.15">
      <c r="B33" s="1"/>
      <c r="C33" s="115" t="s">
        <v>428</v>
      </c>
      <c r="D33" s="116"/>
      <c r="E33" s="116"/>
      <c r="F33" s="117"/>
      <c r="G33" s="59"/>
      <c r="H33" s="64"/>
      <c r="I33" s="59"/>
      <c r="J33" s="66" t="s">
        <v>16</v>
      </c>
      <c r="K33" s="89" t="str">
        <f>IF(ISNA(VLOOKUP(H33, LuktirVasarVerð, 2, FALSE)) = TRUE, "", VLOOKUP(H33, LuktirVasarVerð, 2, FALSE))</f>
        <v/>
      </c>
      <c r="L33" s="89"/>
      <c r="M33" s="1"/>
    </row>
    <row r="34" spans="2:13" x14ac:dyDescent="0.15">
      <c r="B34" s="1"/>
      <c r="C34" s="86"/>
      <c r="D34" s="87"/>
      <c r="E34" s="87"/>
      <c r="F34" s="88"/>
      <c r="G34" s="63" t="s">
        <v>17</v>
      </c>
      <c r="H34" s="64"/>
      <c r="I34" s="59"/>
      <c r="J34" s="66" t="s">
        <v>16</v>
      </c>
      <c r="K34" s="89" t="str">
        <f>IF(ISNA(VLOOKUP(H34, FuglarVerð, 2, FALSE)) = TRUE, "", VLOOKUP(H34, FuglarVerð, 2, FALSE))</f>
        <v/>
      </c>
      <c r="L34" s="89"/>
      <c r="M34" s="1"/>
    </row>
    <row r="35" spans="2:13" x14ac:dyDescent="0.15">
      <c r="B35" s="1"/>
      <c r="C35" s="86"/>
      <c r="D35" s="87"/>
      <c r="E35" s="87"/>
      <c r="F35" s="88"/>
      <c r="G35" s="59"/>
      <c r="H35" s="64"/>
      <c r="I35" s="59"/>
      <c r="J35" s="66" t="s">
        <v>16</v>
      </c>
      <c r="K35" s="89" t="str">
        <f>IF(ISNA(VLOOKUP(H35, FuglarVerð, 2, FALSE)) = TRUE, "", VLOOKUP(H35, FuglarVerð, 2, FALSE))</f>
        <v/>
      </c>
      <c r="L35" s="89"/>
      <c r="M35" s="1"/>
    </row>
    <row r="36" spans="2:13" x14ac:dyDescent="0.15">
      <c r="B36" s="1"/>
      <c r="C36" s="86"/>
      <c r="D36" s="87"/>
      <c r="E36" s="87"/>
      <c r="F36" s="88"/>
      <c r="G36" s="59"/>
      <c r="H36" s="64"/>
      <c r="I36" s="59"/>
      <c r="J36" s="66" t="s">
        <v>16</v>
      </c>
      <c r="K36" s="89" t="str">
        <f>IF(ISNA(VLOOKUP(H36, FuglarVerð, 2, FALSE)) = TRUE, "", VLOOKUP(H36, FuglarVerð, 2, FALSE))</f>
        <v/>
      </c>
      <c r="L36" s="89"/>
      <c r="M36" s="1"/>
    </row>
    <row r="37" spans="2:13" x14ac:dyDescent="0.15">
      <c r="B37" s="1"/>
      <c r="C37" s="86"/>
      <c r="D37" s="87"/>
      <c r="E37" s="87"/>
      <c r="F37" s="88"/>
      <c r="G37" s="63" t="s">
        <v>182</v>
      </c>
      <c r="H37" s="64"/>
      <c r="I37" s="59"/>
      <c r="J37" s="66" t="s">
        <v>16</v>
      </c>
      <c r="K37" s="89" t="str">
        <f>IF(ISNA(VLOOKUP(H37, MyndVerð, 2, FALSE)) = TRUE, "", VLOOKUP(H37, MyndVerð, 2, FALSE))</f>
        <v/>
      </c>
      <c r="L37" s="89"/>
      <c r="M37" s="1"/>
    </row>
    <row r="38" spans="2:13" x14ac:dyDescent="0.15">
      <c r="B38" s="1"/>
      <c r="C38" s="111"/>
      <c r="D38" s="87"/>
      <c r="E38" s="87"/>
      <c r="F38" s="88"/>
      <c r="G38" s="63" t="s">
        <v>183</v>
      </c>
      <c r="H38" s="64"/>
      <c r="I38" s="59"/>
      <c r="J38" s="66" t="s">
        <v>16</v>
      </c>
      <c r="K38" s="89" t="str">
        <f>IF(ISNA(VLOOKUP(H38, RammiVerð, 2, FALSE)) = TRUE, "", VLOOKUP(H38, RammiVerð, 2, FALSE))</f>
        <v/>
      </c>
      <c r="L38" s="89"/>
      <c r="M38" s="1"/>
    </row>
    <row r="39" spans="2:13" x14ac:dyDescent="0.15">
      <c r="B39" s="1"/>
      <c r="C39" s="86"/>
      <c r="D39" s="87"/>
      <c r="E39" s="87"/>
      <c r="F39" s="88"/>
      <c r="G39" s="67" t="s">
        <v>431</v>
      </c>
      <c r="H39" s="79"/>
      <c r="I39" s="63"/>
      <c r="J39" s="66" t="s">
        <v>16</v>
      </c>
      <c r="K39" s="138">
        <v>82000</v>
      </c>
      <c r="L39" s="138"/>
      <c r="M39" s="1"/>
    </row>
    <row r="40" spans="2:13" x14ac:dyDescent="0.15">
      <c r="B40" s="1"/>
      <c r="C40" s="86"/>
      <c r="D40" s="87"/>
      <c r="E40" s="87"/>
      <c r="F40" s="88"/>
      <c r="G40" s="63" t="s">
        <v>22</v>
      </c>
      <c r="H40" s="64"/>
      <c r="I40" s="59"/>
      <c r="J40" s="66" t="s">
        <v>16</v>
      </c>
      <c r="K40" s="89" t="str">
        <f t="shared" ref="K40:K49" si="2">IF(ISNA(VLOOKUP(H40, AnnaðVerð, 2, FALSE)) = TRUE, "", VLOOKUP(H40, AnnaðVerð, 2, FALSE))</f>
        <v/>
      </c>
      <c r="L40" s="89"/>
      <c r="M40" s="1"/>
    </row>
    <row r="41" spans="2:13" x14ac:dyDescent="0.15">
      <c r="B41" s="1"/>
      <c r="C41" s="86"/>
      <c r="D41" s="87"/>
      <c r="E41" s="87"/>
      <c r="F41" s="88"/>
      <c r="G41" s="59"/>
      <c r="H41" s="64"/>
      <c r="I41" s="59"/>
      <c r="J41" s="66" t="s">
        <v>16</v>
      </c>
      <c r="K41" s="89" t="str">
        <f t="shared" si="2"/>
        <v/>
      </c>
      <c r="L41" s="89"/>
      <c r="M41" s="1"/>
    </row>
    <row r="42" spans="2:13" x14ac:dyDescent="0.15">
      <c r="B42" s="1"/>
      <c r="C42" s="86"/>
      <c r="D42" s="87"/>
      <c r="E42" s="87"/>
      <c r="F42" s="88"/>
      <c r="G42" s="59"/>
      <c r="H42" s="64"/>
      <c r="I42" s="59"/>
      <c r="J42" s="66" t="s">
        <v>16</v>
      </c>
      <c r="K42" s="89"/>
      <c r="L42" s="89"/>
      <c r="M42" s="1"/>
    </row>
    <row r="43" spans="2:13" x14ac:dyDescent="0.15">
      <c r="B43" s="1"/>
      <c r="C43" s="86"/>
      <c r="D43" s="87"/>
      <c r="E43" s="87"/>
      <c r="F43" s="88"/>
      <c r="G43" s="59"/>
      <c r="H43" s="64"/>
      <c r="I43" s="59"/>
      <c r="J43" s="66" t="s">
        <v>16</v>
      </c>
      <c r="K43" s="89" t="str">
        <f t="shared" si="2"/>
        <v/>
      </c>
      <c r="L43" s="89"/>
      <c r="M43" s="1"/>
    </row>
    <row r="44" spans="2:13" x14ac:dyDescent="0.15">
      <c r="B44" s="1"/>
      <c r="C44" s="86"/>
      <c r="D44" s="87"/>
      <c r="E44" s="87"/>
      <c r="F44" s="88"/>
      <c r="G44" s="59"/>
      <c r="H44" s="64" t="s">
        <v>385</v>
      </c>
      <c r="I44" s="59"/>
      <c r="J44" s="66" t="s">
        <v>16</v>
      </c>
      <c r="K44" s="89">
        <f t="shared" si="2"/>
        <v>36600</v>
      </c>
      <c r="L44" s="89"/>
      <c r="M44" s="1"/>
    </row>
    <row r="45" spans="2:13" x14ac:dyDescent="0.15">
      <c r="B45" s="1"/>
      <c r="C45" s="86"/>
      <c r="D45" s="87"/>
      <c r="E45" s="87"/>
      <c r="F45" s="88"/>
      <c r="G45" s="59"/>
      <c r="H45" s="64"/>
      <c r="I45" s="59"/>
      <c r="J45" s="66" t="s">
        <v>16</v>
      </c>
      <c r="K45" s="89" t="str">
        <f t="shared" si="2"/>
        <v/>
      </c>
      <c r="L45" s="89"/>
      <c r="M45" s="1"/>
    </row>
    <row r="46" spans="2:13" x14ac:dyDescent="0.15">
      <c r="B46" s="1"/>
      <c r="C46" s="86"/>
      <c r="D46" s="87"/>
      <c r="E46" s="87"/>
      <c r="F46" s="88"/>
      <c r="G46" s="59"/>
      <c r="H46" s="64"/>
      <c r="I46" s="59"/>
      <c r="J46" s="66" t="s">
        <v>16</v>
      </c>
      <c r="K46" s="89" t="str">
        <f t="shared" si="2"/>
        <v/>
      </c>
      <c r="L46" s="89"/>
      <c r="M46" s="1"/>
    </row>
    <row r="47" spans="2:13" x14ac:dyDescent="0.15">
      <c r="B47" s="1"/>
      <c r="C47" s="86"/>
      <c r="D47" s="87"/>
      <c r="E47" s="87"/>
      <c r="F47" s="88"/>
      <c r="G47" s="69"/>
      <c r="H47" s="64"/>
      <c r="I47" s="59"/>
      <c r="J47" s="66" t="s">
        <v>16</v>
      </c>
      <c r="K47" s="89" t="str">
        <f t="shared" si="2"/>
        <v/>
      </c>
      <c r="L47" s="89"/>
      <c r="M47" s="1"/>
    </row>
    <row r="48" spans="2:13" x14ac:dyDescent="0.15">
      <c r="B48" s="1"/>
      <c r="C48" s="86"/>
      <c r="D48" s="87"/>
      <c r="E48" s="87"/>
      <c r="F48" s="88"/>
      <c r="G48" s="69"/>
      <c r="H48" s="64"/>
      <c r="I48" s="59"/>
      <c r="J48" s="66" t="s">
        <v>16</v>
      </c>
      <c r="K48" s="89" t="str">
        <f t="shared" si="2"/>
        <v/>
      </c>
      <c r="L48" s="89"/>
      <c r="M48" s="1"/>
    </row>
    <row r="49" spans="2:13" x14ac:dyDescent="0.15">
      <c r="B49" s="1"/>
      <c r="C49" s="86"/>
      <c r="D49" s="87"/>
      <c r="E49" s="87"/>
      <c r="F49" s="88"/>
      <c r="G49" s="69"/>
      <c r="H49" s="64"/>
      <c r="I49" s="59"/>
      <c r="J49" s="66" t="s">
        <v>16</v>
      </c>
      <c r="K49" s="89" t="str">
        <f t="shared" si="2"/>
        <v/>
      </c>
      <c r="L49" s="89"/>
      <c r="M49" s="1"/>
    </row>
    <row r="50" spans="2:13" x14ac:dyDescent="0.15">
      <c r="B50" s="1"/>
      <c r="C50" s="135"/>
      <c r="D50" s="136"/>
      <c r="E50" s="136"/>
      <c r="F50" s="137"/>
      <c r="G50" s="122" t="s">
        <v>12</v>
      </c>
      <c r="H50" s="123"/>
      <c r="I50" s="84"/>
      <c r="J50" s="66" t="s">
        <v>16</v>
      </c>
      <c r="K50" s="106">
        <v>86600</v>
      </c>
      <c r="L50" s="106"/>
      <c r="M50" s="1"/>
    </row>
    <row r="51" spans="2:13" x14ac:dyDescent="0.15">
      <c r="B51" s="1"/>
      <c r="C51" s="59"/>
      <c r="D51" s="59"/>
      <c r="E51" s="59"/>
      <c r="F51" s="59"/>
      <c r="G51" s="69"/>
      <c r="H51" s="59"/>
      <c r="I51" s="59"/>
      <c r="J51" s="59"/>
      <c r="K51" s="59"/>
      <c r="L51" s="59"/>
      <c r="M51" s="1"/>
    </row>
    <row r="52" spans="2:13" x14ac:dyDescent="0.15">
      <c r="B52" s="1"/>
      <c r="C52" s="59"/>
      <c r="D52" s="59"/>
      <c r="E52" s="59"/>
      <c r="F52" s="59"/>
      <c r="G52" s="69"/>
      <c r="H52" s="85" t="s">
        <v>425</v>
      </c>
      <c r="I52" s="60"/>
      <c r="J52" s="63"/>
      <c r="K52" s="108"/>
      <c r="L52" s="108"/>
      <c r="M52" s="1"/>
    </row>
    <row r="53" spans="2:13" x14ac:dyDescent="0.15">
      <c r="B53" s="1"/>
      <c r="C53" s="59"/>
      <c r="D53" s="59"/>
      <c r="E53" s="59"/>
      <c r="F53" s="59"/>
      <c r="G53" s="69"/>
      <c r="H53" s="59"/>
      <c r="I53" s="59"/>
      <c r="J53" s="59"/>
      <c r="K53" s="59"/>
      <c r="L53" s="59"/>
      <c r="M53" s="1"/>
    </row>
    <row r="54" spans="2:13" ht="17" thickBot="1" x14ac:dyDescent="0.2">
      <c r="B54" s="1"/>
      <c r="C54" s="59"/>
      <c r="D54" s="59"/>
      <c r="E54" s="59"/>
      <c r="F54" s="59"/>
      <c r="G54" s="69"/>
      <c r="H54" s="70" t="s">
        <v>429</v>
      </c>
      <c r="I54" s="70"/>
      <c r="J54" s="71" t="s">
        <v>16</v>
      </c>
      <c r="K54" s="107">
        <f>SUM(K29:L52)</f>
        <v>403880</v>
      </c>
      <c r="L54" s="107"/>
      <c r="M54" s="1"/>
    </row>
    <row r="55" spans="2:13" ht="14" thickTop="1" x14ac:dyDescent="0.15">
      <c r="B55" s="1"/>
      <c r="C55" s="72"/>
      <c r="D55" s="59"/>
      <c r="E55" s="59"/>
      <c r="F55" s="59"/>
      <c r="G55" s="69"/>
      <c r="H55" s="69"/>
      <c r="I55" s="69"/>
      <c r="J55" s="69"/>
      <c r="K55" s="69"/>
      <c r="L55" s="69"/>
      <c r="M55" s="1"/>
    </row>
    <row r="56" spans="2:13" x14ac:dyDescent="0.15">
      <c r="B56" s="1"/>
      <c r="C56" s="59"/>
      <c r="D56" s="59"/>
      <c r="E56" s="59"/>
      <c r="F56" s="59"/>
      <c r="G56" s="73"/>
      <c r="H56" s="74" t="s">
        <v>432</v>
      </c>
      <c r="I56" s="74"/>
      <c r="J56" s="69"/>
      <c r="K56" s="109"/>
      <c r="L56" s="106"/>
      <c r="M56" s="1"/>
    </row>
    <row r="57" spans="2:13" ht="12.75" customHeight="1" x14ac:dyDescent="0.15">
      <c r="B57" s="4"/>
      <c r="C57" s="105" t="s">
        <v>139</v>
      </c>
      <c r="D57" s="105"/>
      <c r="E57" s="103" t="s">
        <v>497</v>
      </c>
      <c r="F57" s="103"/>
      <c r="G57" s="69"/>
      <c r="H57" s="69"/>
      <c r="I57" s="69"/>
      <c r="J57" s="69"/>
      <c r="K57" s="69"/>
      <c r="L57" s="73"/>
      <c r="M57" s="3"/>
    </row>
    <row r="58" spans="2:13" x14ac:dyDescent="0.15">
      <c r="B58" s="1"/>
      <c r="C58" s="59"/>
      <c r="D58" s="73"/>
      <c r="E58" s="69"/>
      <c r="F58" s="69"/>
      <c r="G58" s="73"/>
      <c r="H58" s="69"/>
      <c r="I58" s="69"/>
      <c r="J58" s="69"/>
      <c r="K58" s="69"/>
      <c r="L58" s="59"/>
      <c r="M58" s="1"/>
    </row>
    <row r="59" spans="2:13" x14ac:dyDescent="0.15">
      <c r="B59" s="1"/>
      <c r="C59" s="59"/>
      <c r="D59" s="75"/>
      <c r="E59" s="75"/>
      <c r="F59" s="75"/>
      <c r="G59" s="75"/>
      <c r="H59" s="75"/>
      <c r="I59" s="75"/>
      <c r="J59" s="75"/>
      <c r="K59" s="75"/>
      <c r="L59" s="59"/>
      <c r="M59" s="1"/>
    </row>
    <row r="60" spans="2:13" x14ac:dyDescent="0.15">
      <c r="B60" s="1"/>
      <c r="C60" s="59"/>
      <c r="D60" s="59"/>
      <c r="E60" s="60" t="s">
        <v>0</v>
      </c>
      <c r="F60" s="59"/>
      <c r="G60" s="59"/>
      <c r="H60" s="59"/>
      <c r="I60" s="59"/>
      <c r="J60" s="60" t="s">
        <v>18</v>
      </c>
      <c r="K60" s="59"/>
      <c r="L60" s="59"/>
      <c r="M60" s="1"/>
    </row>
    <row r="61" spans="2:13" x14ac:dyDescent="0.15">
      <c r="B61" s="1"/>
      <c r="C61" s="7"/>
      <c r="D61" s="7"/>
      <c r="E61" s="7"/>
      <c r="F61" s="7"/>
      <c r="G61" s="5"/>
      <c r="H61" s="5"/>
      <c r="I61" s="5"/>
      <c r="J61" s="5"/>
      <c r="K61" s="5"/>
      <c r="L61" s="5"/>
      <c r="M61" s="1"/>
    </row>
    <row r="62" spans="2:13" x14ac:dyDescent="0.15">
      <c r="B62" s="1"/>
      <c r="C62" s="7"/>
      <c r="D62" s="7"/>
      <c r="E62" s="7"/>
      <c r="F62" s="7"/>
      <c r="G62" s="1"/>
      <c r="H62" s="1"/>
      <c r="I62" s="1"/>
      <c r="J62" s="1"/>
      <c r="K62" s="1"/>
      <c r="L62" s="1"/>
      <c r="M62" s="1"/>
    </row>
    <row r="63" spans="2:13" x14ac:dyDescent="0.15">
      <c r="B63" s="1"/>
      <c r="C63" s="7"/>
      <c r="D63" s="7"/>
      <c r="E63" s="7"/>
      <c r="F63" s="7"/>
      <c r="G63" s="1"/>
      <c r="H63" s="1"/>
      <c r="I63" s="1"/>
      <c r="J63" s="1"/>
      <c r="K63" s="1"/>
      <c r="L63" s="1"/>
      <c r="M63" s="1"/>
    </row>
    <row r="64" spans="2:13" x14ac:dyDescent="0.15">
      <c r="B64" s="1"/>
      <c r="C64" s="7"/>
      <c r="D64" s="7"/>
      <c r="E64" s="7"/>
      <c r="F64" s="7"/>
      <c r="G64" s="1"/>
      <c r="H64" s="1"/>
      <c r="I64" s="1"/>
      <c r="J64" s="1"/>
      <c r="K64" s="1"/>
      <c r="L64" s="1"/>
      <c r="M64" s="1"/>
    </row>
    <row r="65" spans="2:13" x14ac:dyDescent="0.15">
      <c r="B65" s="1"/>
      <c r="C65" s="7"/>
      <c r="D65" s="8"/>
      <c r="E65" s="7"/>
      <c r="F65" s="7"/>
      <c r="G65" s="1"/>
      <c r="H65" s="1"/>
      <c r="I65" s="1"/>
      <c r="J65" s="1"/>
      <c r="K65" s="1"/>
      <c r="L65" s="1"/>
      <c r="M65" s="1"/>
    </row>
  </sheetData>
  <sheetProtection selectLockedCells="1"/>
  <mergeCells count="83">
    <mergeCell ref="G50:H50"/>
    <mergeCell ref="K11:L11"/>
    <mergeCell ref="H12:J12"/>
    <mergeCell ref="H11:J11"/>
    <mergeCell ref="D12:G12"/>
    <mergeCell ref="C16:D17"/>
    <mergeCell ref="D13:G13"/>
    <mergeCell ref="D14:G14"/>
    <mergeCell ref="K17:L17"/>
    <mergeCell ref="J15:L15"/>
    <mergeCell ref="J14:L14"/>
    <mergeCell ref="C49:F49"/>
    <mergeCell ref="C50:F50"/>
    <mergeCell ref="K39:L39"/>
    <mergeCell ref="C22:G22"/>
    <mergeCell ref="H22:L22"/>
    <mergeCell ref="H8:J8"/>
    <mergeCell ref="H9:J9"/>
    <mergeCell ref="D9:G10"/>
    <mergeCell ref="C9:C10"/>
    <mergeCell ref="D11:G11"/>
    <mergeCell ref="H4:L6"/>
    <mergeCell ref="C37:F37"/>
    <mergeCell ref="C38:F38"/>
    <mergeCell ref="H24:L24"/>
    <mergeCell ref="C26:L26"/>
    <mergeCell ref="K29:L29"/>
    <mergeCell ref="K31:L31"/>
    <mergeCell ref="K36:L36"/>
    <mergeCell ref="K32:L32"/>
    <mergeCell ref="K33:L33"/>
    <mergeCell ref="K34:L34"/>
    <mergeCell ref="C33:F33"/>
    <mergeCell ref="C34:F34"/>
    <mergeCell ref="C35:F35"/>
    <mergeCell ref="C36:F36"/>
    <mergeCell ref="C19:L19"/>
    <mergeCell ref="C57:D57"/>
    <mergeCell ref="C44:F44"/>
    <mergeCell ref="C45:F45"/>
    <mergeCell ref="C46:F46"/>
    <mergeCell ref="K46:L46"/>
    <mergeCell ref="K47:L47"/>
    <mergeCell ref="K50:L50"/>
    <mergeCell ref="K48:L48"/>
    <mergeCell ref="K49:L49"/>
    <mergeCell ref="E57:F57"/>
    <mergeCell ref="K54:L54"/>
    <mergeCell ref="K44:L44"/>
    <mergeCell ref="K45:L45"/>
    <mergeCell ref="C48:F48"/>
    <mergeCell ref="K52:L52"/>
    <mergeCell ref="K56:L56"/>
    <mergeCell ref="K42:L42"/>
    <mergeCell ref="H23:L23"/>
    <mergeCell ref="C47:F47"/>
    <mergeCell ref="C27:L27"/>
    <mergeCell ref="D29:E29"/>
    <mergeCell ref="C41:F41"/>
    <mergeCell ref="C23:G23"/>
    <mergeCell ref="C43:F43"/>
    <mergeCell ref="C42:F42"/>
    <mergeCell ref="D31:E31"/>
    <mergeCell ref="H25:L25"/>
    <mergeCell ref="C24:G24"/>
    <mergeCell ref="C25:G25"/>
    <mergeCell ref="K30:L30"/>
    <mergeCell ref="K43:L43"/>
    <mergeCell ref="K41:L41"/>
    <mergeCell ref="C40:F40"/>
    <mergeCell ref="K40:L40"/>
    <mergeCell ref="C18:L18"/>
    <mergeCell ref="K12:L12"/>
    <mergeCell ref="D15:G15"/>
    <mergeCell ref="C20:G20"/>
    <mergeCell ref="C21:G21"/>
    <mergeCell ref="H21:L21"/>
    <mergeCell ref="H20:L20"/>
    <mergeCell ref="K35:L35"/>
    <mergeCell ref="K37:L37"/>
    <mergeCell ref="K38:L38"/>
    <mergeCell ref="D30:E30"/>
    <mergeCell ref="C39:F39"/>
  </mergeCells>
  <phoneticPr fontId="0" type="noConversion"/>
  <dataValidations xWindow="349" yWindow="391" count="18">
    <dataValidation type="list" allowBlank="1" showInputMessage="1" showErrorMessage="1" sqref="K50:L50" xr:uid="{00000000-0002-0000-0000-000000000000}">
      <formula1>Uppsetning</formula1>
    </dataValidation>
    <dataValidation type="list" errorStyle="information" allowBlank="1" showInputMessage="1" showErrorMessage="1" errorTitle="Letur:" error="Veldu letur." sqref="D29:E29" xr:uid="{00000000-0002-0000-0000-000001000000}">
      <formula1>Letur</formula1>
    </dataValidation>
    <dataValidation type="list" errorStyle="information" allowBlank="1" showInputMessage="1" showErrorMessage="1" errorTitle="Legsteinar:" error="Veldu legstein." sqref="H29" xr:uid="{00000000-0002-0000-0000-000002000000}">
      <formula1>Legsteinn</formula1>
    </dataValidation>
    <dataValidation type="list" errorStyle="information" allowBlank="1" showInputMessage="1" showErrorMessage="1" errorTitle="Krossar:" error="Veldu kross." sqref="H31" xr:uid="{00000000-0002-0000-0000-000003000000}">
      <formula1>Krossar1</formula1>
    </dataValidation>
    <dataValidation type="list" errorStyle="information" allowBlank="1" showInputMessage="1" showErrorMessage="1" errorTitle="Luktir og vasar:" error="Veldu lukt eða vasa" sqref="H32:H33" xr:uid="{00000000-0002-0000-0000-000004000000}">
      <formula1>LuktirVasar</formula1>
    </dataValidation>
    <dataValidation type="list" errorStyle="information" allowBlank="1" showInputMessage="1" showErrorMessage="1" errorTitle="Fuglar:" error="Veldu fugl." sqref="H35:H36" xr:uid="{00000000-0002-0000-0000-000005000000}">
      <formula1>Fuglar</formula1>
    </dataValidation>
    <dataValidation type="list" errorStyle="information" allowBlank="1" showInputMessage="1" showErrorMessage="1" errorTitle="Áletrun:" error="Veldu verð." sqref="H30" xr:uid="{00000000-0002-0000-0000-000006000000}">
      <formula1>Áletrun</formula1>
    </dataValidation>
    <dataValidation type="list" errorStyle="information" allowBlank="1" showInputMessage="1" showErrorMessage="1" errorTitle="Blómarammar:" error="Veldu verð." sqref="K39:L39" xr:uid="{00000000-0002-0000-0000-000007000000}">
      <formula1>BlómarammarVerð</formula1>
    </dataValidation>
    <dataValidation type="list" errorStyle="information" allowBlank="1" showInputMessage="1" showErrorMessage="1" errorTitle="Annað:" error="Veldu annað." sqref="H52 G50 H40:H49" xr:uid="{00000000-0002-0000-0000-000008000000}">
      <formula1>Annað</formula1>
    </dataValidation>
    <dataValidation type="list" allowBlank="1" showInputMessage="1" showErrorMessage="1" sqref="K40:L49 K52:L52" xr:uid="{00000000-0002-0000-0000-000009000000}">
      <formula1>Annað</formula1>
    </dataValidation>
    <dataValidation type="list" errorStyle="information" allowBlank="1" showInputMessage="1" showErrorMessage="1" errorTitle="Mynd og rammi:" error="Veldu verð." sqref="K37:L38" xr:uid="{00000000-0002-0000-0000-00000A000000}">
      <formula1>MyndOgRammiVerð</formula1>
    </dataValidation>
    <dataValidation type="list" errorStyle="information" allowBlank="1" showInputMessage="1" showErrorMessage="1" errorTitle="Sölumaður:" error="Veldu sölumann." sqref="E57:F57" xr:uid="{00000000-0002-0000-0000-00000B000000}">
      <formula1>Sölumaður</formula1>
    </dataValidation>
    <dataValidation type="list" errorStyle="information" allowBlank="1" showInputMessage="1" showErrorMessage="1" errorTitle="Mynd:" error="Veldu mynd." sqref="H37" xr:uid="{00000000-0002-0000-0000-00000C000000}">
      <formula1>Mynd</formula1>
    </dataValidation>
    <dataValidation type="list" errorStyle="information" allowBlank="1" showInputMessage="1" showErrorMessage="1" errorTitle="Rammi:" error="Veldu ramma." sqref="H38" xr:uid="{00000000-0002-0000-0000-00000D000000}">
      <formula1>Rammi</formula1>
    </dataValidation>
    <dataValidation type="list" errorStyle="information" allowBlank="1" showInputMessage="1" showErrorMessage="1" errorTitle="Letur:" error="Veldu letur." sqref="D31:E31" xr:uid="{00000000-0002-0000-0000-00000E000000}">
      <formula1>Litur</formula1>
    </dataValidation>
    <dataValidation type="list" allowBlank="1" showInputMessage="1" showErrorMessage="1" sqref="J15:L15" xr:uid="{00000000-0002-0000-0000-00000F000000}">
      <formula1>Kirkjugarðar</formula1>
    </dataValidation>
    <dataValidation type="list" errorStyle="information" allowBlank="1" showInputMessage="1" showErrorMessage="1" errorTitle="Fuglar:" error="Veldu fugl." sqref="H34" xr:uid="{00000000-0002-0000-0000-000010000000}">
      <formula1>Fuglar2</formula1>
    </dataValidation>
    <dataValidation type="list" allowBlank="1" showInputMessage="1" showErrorMessage="1" sqref="I29" xr:uid="{00000000-0002-0000-0000-000011000000}">
      <formula1>Glitir</formula1>
    </dataValidation>
  </dataValidations>
  <printOptions horizontalCentered="1" verticalCentered="1"/>
  <pageMargins left="0" right="0" top="0" bottom="0" header="0" footer="0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S166"/>
  <sheetViews>
    <sheetView topLeftCell="A62" workbookViewId="0">
      <selection activeCell="D123" sqref="D123"/>
    </sheetView>
  </sheetViews>
  <sheetFormatPr baseColWidth="10" defaultColWidth="9.1640625" defaultRowHeight="13" x14ac:dyDescent="0.15"/>
  <cols>
    <col min="1" max="1" width="10.33203125" style="10" customWidth="1"/>
    <col min="2" max="2" width="4.1640625" style="10" customWidth="1"/>
    <col min="3" max="3" width="9.5" style="10" customWidth="1"/>
    <col min="4" max="4" width="17.83203125" style="10" bestFit="1" customWidth="1"/>
    <col min="5" max="5" width="9.1640625" style="10"/>
    <col min="6" max="6" width="17.6640625" style="10" customWidth="1"/>
    <col min="7" max="7" width="9.1640625" style="10"/>
    <col min="8" max="8" width="6.5" style="10" bestFit="1" customWidth="1"/>
    <col min="9" max="9" width="14.1640625" style="10" bestFit="1" customWidth="1"/>
    <col min="10" max="10" width="9.1640625" style="10" customWidth="1"/>
    <col min="11" max="11" width="17.5" style="10" bestFit="1" customWidth="1"/>
    <col min="12" max="12" width="14.1640625" style="10" bestFit="1" customWidth="1"/>
    <col min="13" max="13" width="9.1640625" style="10"/>
    <col min="14" max="14" width="9.33203125" style="10" bestFit="1" customWidth="1"/>
    <col min="15" max="15" width="14.1640625" style="10" bestFit="1" customWidth="1"/>
    <col min="16" max="16" width="4.5" style="10" customWidth="1"/>
    <col min="17" max="17" width="11.5" style="10" customWidth="1"/>
    <col min="18" max="18" width="15.5" style="10" customWidth="1"/>
    <col min="19" max="19" width="9.1640625" style="10"/>
    <col min="20" max="20" width="9.5" style="10" customWidth="1"/>
    <col min="21" max="21" width="15.6640625" style="10" customWidth="1"/>
    <col min="22" max="16384" width="9.1640625" style="10"/>
  </cols>
  <sheetData>
    <row r="1" spans="2:18" x14ac:dyDescent="0.15">
      <c r="B1" s="139" t="s">
        <v>2</v>
      </c>
      <c r="C1" s="139"/>
      <c r="D1" s="139"/>
    </row>
    <row r="3" spans="2:18" ht="14" thickBot="1" x14ac:dyDescent="0.2">
      <c r="B3" s="20" t="s">
        <v>200</v>
      </c>
      <c r="C3" s="13" t="s">
        <v>182</v>
      </c>
      <c r="D3" s="14" t="s">
        <v>13</v>
      </c>
      <c r="F3" s="14" t="s">
        <v>20</v>
      </c>
      <c r="G3" s="33"/>
      <c r="H3" s="9" t="s">
        <v>9</v>
      </c>
      <c r="I3" s="14" t="s">
        <v>13</v>
      </c>
      <c r="K3" s="13" t="s">
        <v>10</v>
      </c>
      <c r="L3" s="14" t="s">
        <v>13</v>
      </c>
      <c r="N3" s="13" t="s">
        <v>182</v>
      </c>
      <c r="O3" s="14" t="s">
        <v>13</v>
      </c>
      <c r="Q3" s="13" t="s">
        <v>21</v>
      </c>
      <c r="R3" s="14" t="s">
        <v>13</v>
      </c>
    </row>
    <row r="4" spans="2:18" ht="14.25" customHeight="1" x14ac:dyDescent="0.15">
      <c r="B4" s="38" t="s">
        <v>362</v>
      </c>
      <c r="C4" s="39" t="s">
        <v>354</v>
      </c>
      <c r="D4" s="15"/>
      <c r="F4" s="15">
        <v>82000</v>
      </c>
      <c r="G4" s="33"/>
      <c r="H4" s="32" t="s">
        <v>25</v>
      </c>
      <c r="I4" s="31">
        <v>14450.9</v>
      </c>
      <c r="K4" s="39"/>
      <c r="L4" s="15"/>
      <c r="N4" s="37" t="s">
        <v>182</v>
      </c>
      <c r="O4" s="15">
        <v>47000</v>
      </c>
      <c r="Q4" s="17"/>
      <c r="R4" s="15"/>
    </row>
    <row r="5" spans="2:18" ht="14" x14ac:dyDescent="0.15">
      <c r="B5" s="48" t="s">
        <v>363</v>
      </c>
      <c r="C5" s="45"/>
      <c r="D5" s="15"/>
      <c r="F5" s="15">
        <v>94000</v>
      </c>
      <c r="G5" s="33"/>
      <c r="H5" s="12" t="s">
        <v>26</v>
      </c>
      <c r="I5" s="30">
        <v>17950.09</v>
      </c>
      <c r="K5" s="37" t="s">
        <v>416</v>
      </c>
      <c r="L5" s="15">
        <v>57000</v>
      </c>
      <c r="N5" s="37"/>
      <c r="O5" s="15"/>
      <c r="Q5" s="17" t="s">
        <v>96</v>
      </c>
      <c r="R5" s="15">
        <v>18107</v>
      </c>
    </row>
    <row r="6" spans="2:18" ht="14" x14ac:dyDescent="0.15">
      <c r="B6" s="48" t="s">
        <v>364</v>
      </c>
      <c r="C6" s="45" t="s">
        <v>355</v>
      </c>
      <c r="D6" s="49">
        <v>465000</v>
      </c>
      <c r="F6" s="15">
        <v>109000</v>
      </c>
      <c r="G6" s="33"/>
      <c r="H6" s="12" t="s">
        <v>27</v>
      </c>
      <c r="I6" s="30">
        <v>18500</v>
      </c>
      <c r="K6" s="17" t="s">
        <v>64</v>
      </c>
      <c r="L6" s="15">
        <v>57000</v>
      </c>
      <c r="N6" s="17"/>
      <c r="O6" s="15"/>
      <c r="Q6" s="17" t="s">
        <v>97</v>
      </c>
      <c r="R6" s="15">
        <v>18117</v>
      </c>
    </row>
    <row r="7" spans="2:18" ht="15" thickBot="1" x14ac:dyDescent="0.2">
      <c r="B7" s="48" t="s">
        <v>365</v>
      </c>
      <c r="C7" s="45" t="s">
        <v>490</v>
      </c>
      <c r="D7" s="49">
        <v>486000</v>
      </c>
      <c r="F7" s="16"/>
      <c r="G7" s="33"/>
      <c r="H7" s="12" t="s">
        <v>28</v>
      </c>
      <c r="I7" s="30">
        <v>19389.45</v>
      </c>
      <c r="K7" s="37" t="s">
        <v>186</v>
      </c>
      <c r="L7" s="15">
        <v>57000</v>
      </c>
      <c r="N7" s="17"/>
      <c r="O7" s="15"/>
      <c r="Q7" s="17" t="s">
        <v>98</v>
      </c>
      <c r="R7" s="15">
        <v>19107</v>
      </c>
    </row>
    <row r="8" spans="2:18" ht="15" thickTop="1" x14ac:dyDescent="0.15">
      <c r="B8" s="48" t="s">
        <v>366</v>
      </c>
      <c r="C8" s="45" t="s">
        <v>356</v>
      </c>
      <c r="D8" s="49">
        <v>496000</v>
      </c>
      <c r="G8" s="33"/>
      <c r="H8" s="12" t="s">
        <v>29</v>
      </c>
      <c r="I8" s="30">
        <v>24549.3</v>
      </c>
      <c r="K8" s="37" t="s">
        <v>196</v>
      </c>
      <c r="L8" s="15">
        <v>55000</v>
      </c>
      <c r="N8" s="17"/>
      <c r="O8" s="15"/>
      <c r="Q8" s="17" t="s">
        <v>99</v>
      </c>
      <c r="R8" s="15">
        <v>19117</v>
      </c>
    </row>
    <row r="9" spans="2:18" ht="14" x14ac:dyDescent="0.15">
      <c r="B9" s="48" t="s">
        <v>367</v>
      </c>
      <c r="C9" s="45" t="s">
        <v>357</v>
      </c>
      <c r="D9" s="49">
        <v>218000</v>
      </c>
      <c r="G9" s="33"/>
      <c r="H9" s="12" t="s">
        <v>30</v>
      </c>
      <c r="I9" s="30">
        <v>24549.3</v>
      </c>
      <c r="K9" s="37"/>
      <c r="L9" s="15"/>
      <c r="N9" s="45"/>
      <c r="O9" s="15"/>
      <c r="Q9" s="17" t="s">
        <v>100</v>
      </c>
      <c r="R9" s="15">
        <v>21107</v>
      </c>
    </row>
    <row r="10" spans="2:18" ht="14" x14ac:dyDescent="0.15">
      <c r="B10" s="48" t="s">
        <v>368</v>
      </c>
      <c r="C10" s="45"/>
      <c r="D10" s="49"/>
      <c r="G10" s="33"/>
      <c r="H10" s="12" t="s">
        <v>31</v>
      </c>
      <c r="I10" s="30">
        <v>9971.35</v>
      </c>
      <c r="K10" s="37" t="s">
        <v>437</v>
      </c>
      <c r="L10" s="49">
        <v>52500</v>
      </c>
      <c r="N10" s="45"/>
      <c r="O10" s="15"/>
      <c r="Q10" s="17" t="s">
        <v>101</v>
      </c>
      <c r="R10" s="15">
        <v>15900</v>
      </c>
    </row>
    <row r="11" spans="2:18" ht="15" thickBot="1" x14ac:dyDescent="0.2">
      <c r="B11" s="48" t="s">
        <v>369</v>
      </c>
      <c r="C11" s="45" t="s">
        <v>442</v>
      </c>
      <c r="D11" s="49">
        <v>229000</v>
      </c>
      <c r="F11" s="20" t="s">
        <v>12</v>
      </c>
      <c r="G11" s="33"/>
      <c r="H11" s="12" t="s">
        <v>32</v>
      </c>
      <c r="I11" s="30">
        <v>9971.35</v>
      </c>
      <c r="K11" s="17"/>
      <c r="L11" s="15"/>
      <c r="N11" s="46"/>
      <c r="O11" s="16"/>
      <c r="Q11" s="37" t="s">
        <v>102</v>
      </c>
      <c r="R11" s="15">
        <v>21117</v>
      </c>
    </row>
    <row r="12" spans="2:18" ht="15" thickTop="1" x14ac:dyDescent="0.15">
      <c r="B12" s="48" t="s">
        <v>370</v>
      </c>
      <c r="C12" s="45"/>
      <c r="D12" s="49"/>
      <c r="F12" s="76"/>
      <c r="G12" s="58"/>
      <c r="H12" s="12" t="s">
        <v>33</v>
      </c>
      <c r="I12" s="30">
        <v>9971.35</v>
      </c>
      <c r="K12" s="17" t="s">
        <v>65</v>
      </c>
      <c r="L12" s="15">
        <v>57000</v>
      </c>
      <c r="Q12" s="17" t="s">
        <v>112</v>
      </c>
      <c r="R12" s="15">
        <v>19107</v>
      </c>
    </row>
    <row r="13" spans="2:18" ht="14" x14ac:dyDescent="0.15">
      <c r="B13" s="48" t="s">
        <v>371</v>
      </c>
      <c r="C13" s="45" t="s">
        <v>443</v>
      </c>
      <c r="D13" s="49">
        <v>258000</v>
      </c>
      <c r="F13" s="23"/>
      <c r="G13" s="58"/>
      <c r="H13" s="12" t="s">
        <v>34</v>
      </c>
      <c r="I13" s="30">
        <v>11100</v>
      </c>
      <c r="K13" s="37" t="s">
        <v>66</v>
      </c>
      <c r="L13" s="15">
        <v>57000</v>
      </c>
      <c r="N13" s="13" t="s">
        <v>183</v>
      </c>
      <c r="O13" s="14" t="s">
        <v>13</v>
      </c>
      <c r="Q13" s="17" t="s">
        <v>113</v>
      </c>
      <c r="R13" s="15">
        <v>21107</v>
      </c>
    </row>
    <row r="14" spans="2:18" ht="14" x14ac:dyDescent="0.15">
      <c r="B14" s="48" t="s">
        <v>372</v>
      </c>
      <c r="C14" s="45"/>
      <c r="D14" s="49"/>
      <c r="F14" s="23">
        <v>40000</v>
      </c>
      <c r="G14" s="58"/>
      <c r="H14" s="12" t="s">
        <v>35</v>
      </c>
      <c r="I14" s="30">
        <v>10971.35</v>
      </c>
      <c r="K14" s="37"/>
      <c r="L14" s="15"/>
      <c r="N14" s="37" t="s">
        <v>315</v>
      </c>
      <c r="O14" s="15">
        <v>21500</v>
      </c>
      <c r="Q14" s="17" t="s">
        <v>114</v>
      </c>
      <c r="R14" s="15">
        <v>24107</v>
      </c>
    </row>
    <row r="15" spans="2:18" ht="14" x14ac:dyDescent="0.15">
      <c r="B15" s="48" t="s">
        <v>373</v>
      </c>
      <c r="C15" s="45" t="s">
        <v>444</v>
      </c>
      <c r="D15" s="49">
        <v>266000</v>
      </c>
      <c r="F15" s="77">
        <v>65600</v>
      </c>
      <c r="G15" s="58"/>
      <c r="H15" s="12" t="s">
        <v>36</v>
      </c>
      <c r="I15" s="30">
        <v>10258.25</v>
      </c>
      <c r="K15" s="37" t="s">
        <v>434</v>
      </c>
      <c r="L15" s="15">
        <v>57000</v>
      </c>
      <c r="N15" s="37" t="s">
        <v>316</v>
      </c>
      <c r="O15" s="15">
        <v>21500</v>
      </c>
      <c r="Q15" s="17" t="s">
        <v>115</v>
      </c>
      <c r="R15" s="15">
        <v>14107</v>
      </c>
    </row>
    <row r="16" spans="2:18" ht="14" x14ac:dyDescent="0.15">
      <c r="B16" s="48" t="s">
        <v>374</v>
      </c>
      <c r="C16" s="45"/>
      <c r="D16" s="49"/>
      <c r="F16" s="76">
        <v>123000</v>
      </c>
      <c r="G16" s="58"/>
      <c r="H16" s="12" t="s">
        <v>37</v>
      </c>
      <c r="I16" s="30">
        <v>8258.2500000000018</v>
      </c>
      <c r="K16" s="37" t="s">
        <v>63</v>
      </c>
      <c r="L16" s="49">
        <v>57000</v>
      </c>
      <c r="N16" s="37" t="s">
        <v>317</v>
      </c>
      <c r="O16" s="15">
        <v>21500</v>
      </c>
      <c r="Q16" s="17" t="s">
        <v>116</v>
      </c>
      <c r="R16" s="15">
        <v>14107</v>
      </c>
    </row>
    <row r="17" spans="2:18" ht="14" x14ac:dyDescent="0.15">
      <c r="B17" s="38" t="s">
        <v>375</v>
      </c>
      <c r="C17" s="45" t="s">
        <v>445</v>
      </c>
      <c r="D17" s="49">
        <v>232000</v>
      </c>
      <c r="F17" s="23">
        <v>55000</v>
      </c>
      <c r="G17" s="58"/>
      <c r="H17" s="12" t="s">
        <v>38</v>
      </c>
      <c r="I17" s="30">
        <v>10400</v>
      </c>
      <c r="K17" s="45" t="s">
        <v>435</v>
      </c>
      <c r="L17" s="15">
        <v>57000</v>
      </c>
      <c r="N17" s="37" t="s">
        <v>318</v>
      </c>
      <c r="O17" s="15">
        <v>21500</v>
      </c>
      <c r="Q17" s="17" t="s">
        <v>117</v>
      </c>
      <c r="R17" s="15">
        <v>18117</v>
      </c>
    </row>
    <row r="18" spans="2:18" ht="14" x14ac:dyDescent="0.15">
      <c r="B18" s="38" t="s">
        <v>376</v>
      </c>
      <c r="C18" s="45"/>
      <c r="D18" s="49"/>
      <c r="F18" s="23">
        <v>86600</v>
      </c>
      <c r="G18" s="33"/>
      <c r="H18" s="12" t="s">
        <v>39</v>
      </c>
      <c r="I18" s="30">
        <v>15577.95</v>
      </c>
      <c r="K18" s="45" t="s">
        <v>436</v>
      </c>
      <c r="L18" s="15">
        <v>55000</v>
      </c>
      <c r="N18" s="45" t="s">
        <v>319</v>
      </c>
      <c r="O18" s="15">
        <v>21500</v>
      </c>
      <c r="Q18" s="17" t="s">
        <v>118</v>
      </c>
      <c r="R18" s="15">
        <v>14107</v>
      </c>
    </row>
    <row r="19" spans="2:18" ht="15" thickBot="1" x14ac:dyDescent="0.2">
      <c r="B19" s="38" t="s">
        <v>377</v>
      </c>
      <c r="C19" s="45" t="s">
        <v>446</v>
      </c>
      <c r="D19" s="49">
        <v>248000</v>
      </c>
      <c r="F19" s="24">
        <v>103100</v>
      </c>
      <c r="G19" s="33"/>
      <c r="H19" s="12" t="s">
        <v>40</v>
      </c>
      <c r="I19" s="30">
        <v>15577.95</v>
      </c>
      <c r="K19" s="45"/>
      <c r="L19" s="15"/>
      <c r="N19" s="37" t="s">
        <v>320</v>
      </c>
      <c r="O19" s="15">
        <v>21500</v>
      </c>
      <c r="Q19" s="17" t="s">
        <v>178</v>
      </c>
      <c r="R19" s="15">
        <v>14107</v>
      </c>
    </row>
    <row r="20" spans="2:18" ht="16" thickTop="1" thickBot="1" x14ac:dyDescent="0.2">
      <c r="B20" s="38" t="s">
        <v>378</v>
      </c>
      <c r="C20" s="45"/>
      <c r="D20" s="49"/>
      <c r="G20" s="33"/>
      <c r="H20" s="12" t="s">
        <v>103</v>
      </c>
      <c r="I20" s="30">
        <v>15782.85</v>
      </c>
      <c r="K20" s="45" t="s">
        <v>345</v>
      </c>
      <c r="L20" s="15">
        <v>106000</v>
      </c>
      <c r="N20" s="46" t="s">
        <v>491</v>
      </c>
      <c r="O20" s="16">
        <v>25000</v>
      </c>
      <c r="Q20" s="17" t="s">
        <v>179</v>
      </c>
      <c r="R20" s="15">
        <v>24987</v>
      </c>
    </row>
    <row r="21" spans="2:18" ht="15" thickTop="1" x14ac:dyDescent="0.15">
      <c r="B21" s="38" t="s">
        <v>379</v>
      </c>
      <c r="C21" s="45" t="s">
        <v>447</v>
      </c>
      <c r="D21" s="49">
        <v>482000</v>
      </c>
      <c r="G21" s="33"/>
      <c r="H21" s="12" t="s">
        <v>104</v>
      </c>
      <c r="I21" s="30">
        <v>14700.85</v>
      </c>
      <c r="K21" s="45" t="s">
        <v>346</v>
      </c>
      <c r="L21" s="15">
        <v>106000</v>
      </c>
      <c r="Q21" s="37" t="s">
        <v>180</v>
      </c>
      <c r="R21" s="15">
        <v>24107</v>
      </c>
    </row>
    <row r="22" spans="2:18" ht="14" x14ac:dyDescent="0.15">
      <c r="B22" s="38" t="s">
        <v>380</v>
      </c>
      <c r="C22" s="45"/>
      <c r="D22" s="49"/>
      <c r="G22" s="33"/>
      <c r="H22" s="12" t="s">
        <v>105</v>
      </c>
      <c r="I22" s="30">
        <v>23135.35</v>
      </c>
      <c r="K22" s="45"/>
      <c r="L22" s="15"/>
      <c r="N22" s="13" t="s">
        <v>11</v>
      </c>
      <c r="O22" s="14" t="s">
        <v>13</v>
      </c>
      <c r="Q22" s="17" t="s">
        <v>181</v>
      </c>
      <c r="R22" s="15">
        <v>21117</v>
      </c>
    </row>
    <row r="23" spans="2:18" x14ac:dyDescent="0.15">
      <c r="B23" s="21"/>
      <c r="C23" s="45"/>
      <c r="D23" s="49"/>
      <c r="F23" s="20" t="s">
        <v>1</v>
      </c>
      <c r="G23" s="33"/>
      <c r="H23" s="12" t="s">
        <v>106</v>
      </c>
      <c r="I23" s="30">
        <v>21200</v>
      </c>
      <c r="K23" s="39" t="s">
        <v>197</v>
      </c>
      <c r="L23" s="15"/>
      <c r="N23" s="37"/>
      <c r="O23" s="15"/>
      <c r="Q23" s="45" t="s">
        <v>300</v>
      </c>
      <c r="R23" s="15">
        <v>20819</v>
      </c>
    </row>
    <row r="24" spans="2:18" ht="15" thickBot="1" x14ac:dyDescent="0.2">
      <c r="B24" s="22"/>
      <c r="C24" s="45"/>
      <c r="D24" s="49"/>
      <c r="F24" s="21" t="s">
        <v>3</v>
      </c>
      <c r="G24" s="33"/>
      <c r="H24" s="12" t="s">
        <v>107</v>
      </c>
      <c r="I24" s="30">
        <v>24012.45</v>
      </c>
      <c r="K24" s="37" t="s">
        <v>417</v>
      </c>
      <c r="L24" s="15">
        <v>48500</v>
      </c>
      <c r="N24" s="39" t="s">
        <v>327</v>
      </c>
      <c r="O24" s="15"/>
      <c r="Q24" s="45" t="s">
        <v>301</v>
      </c>
      <c r="R24" s="15">
        <v>20819</v>
      </c>
    </row>
    <row r="25" spans="2:18" ht="15" thickTop="1" x14ac:dyDescent="0.15">
      <c r="C25" s="45"/>
      <c r="D25" s="49"/>
      <c r="F25" s="21" t="s">
        <v>4</v>
      </c>
      <c r="G25" s="33"/>
      <c r="H25" s="12" t="s">
        <v>108</v>
      </c>
      <c r="I25" s="30">
        <v>12450.9</v>
      </c>
      <c r="K25" s="17" t="s">
        <v>67</v>
      </c>
      <c r="L25" s="15">
        <v>48500</v>
      </c>
      <c r="N25" s="37" t="s">
        <v>321</v>
      </c>
      <c r="O25" s="15">
        <v>36700</v>
      </c>
      <c r="Q25" s="45" t="s">
        <v>302</v>
      </c>
      <c r="R25" s="15">
        <v>24278</v>
      </c>
    </row>
    <row r="26" spans="2:18" ht="14" x14ac:dyDescent="0.15">
      <c r="C26" s="45"/>
      <c r="D26" s="49"/>
      <c r="F26" s="21" t="s">
        <v>5</v>
      </c>
      <c r="G26" s="33"/>
      <c r="H26" s="36" t="s">
        <v>109</v>
      </c>
      <c r="I26" s="30">
        <v>11307.45</v>
      </c>
      <c r="K26" s="37" t="s">
        <v>195</v>
      </c>
      <c r="L26" s="15">
        <v>43000</v>
      </c>
      <c r="N26" s="37" t="s">
        <v>322</v>
      </c>
      <c r="O26" s="15">
        <v>29500</v>
      </c>
      <c r="Q26" s="45" t="s">
        <v>303</v>
      </c>
      <c r="R26" s="15">
        <v>24641</v>
      </c>
    </row>
    <row r="27" spans="2:18" ht="14" x14ac:dyDescent="0.15">
      <c r="C27" s="45" t="s">
        <v>448</v>
      </c>
      <c r="D27" s="49">
        <v>424000</v>
      </c>
      <c r="F27" s="21" t="s">
        <v>6</v>
      </c>
      <c r="G27" s="33"/>
      <c r="H27" s="12" t="s">
        <v>110</v>
      </c>
      <c r="I27" s="30">
        <v>14782.85</v>
      </c>
      <c r="K27" s="37" t="s">
        <v>347</v>
      </c>
      <c r="L27" s="15">
        <v>48500</v>
      </c>
      <c r="N27" s="37" t="s">
        <v>323</v>
      </c>
      <c r="O27" s="15">
        <v>20600</v>
      </c>
      <c r="Q27" s="45" t="s">
        <v>304</v>
      </c>
      <c r="R27" s="15">
        <v>28029</v>
      </c>
    </row>
    <row r="28" spans="2:18" ht="14" x14ac:dyDescent="0.15">
      <c r="C28" s="45" t="s">
        <v>486</v>
      </c>
      <c r="D28" s="49">
        <v>455000</v>
      </c>
      <c r="F28" s="21" t="s">
        <v>7</v>
      </c>
      <c r="G28" s="33"/>
      <c r="H28" s="12" t="s">
        <v>111</v>
      </c>
      <c r="I28" s="30">
        <v>15450.9</v>
      </c>
      <c r="K28" s="37" t="s">
        <v>348</v>
      </c>
      <c r="L28" s="15">
        <v>48500</v>
      </c>
      <c r="N28" s="37" t="s">
        <v>324</v>
      </c>
      <c r="O28" s="15">
        <v>36700</v>
      </c>
      <c r="Q28" s="45" t="s">
        <v>305</v>
      </c>
      <c r="R28" s="15">
        <v>24029</v>
      </c>
    </row>
    <row r="29" spans="2:18" ht="14" x14ac:dyDescent="0.15">
      <c r="C29" s="45" t="s">
        <v>449</v>
      </c>
      <c r="D29" s="49">
        <v>382000</v>
      </c>
      <c r="F29" s="21" t="s">
        <v>8</v>
      </c>
      <c r="G29" s="33"/>
      <c r="H29" s="12" t="s">
        <v>142</v>
      </c>
      <c r="I29" s="30">
        <v>18118.95</v>
      </c>
      <c r="K29" s="37"/>
      <c r="L29" s="15"/>
      <c r="N29" s="37" t="s">
        <v>325</v>
      </c>
      <c r="O29" s="15">
        <v>29500</v>
      </c>
      <c r="Q29" s="37"/>
      <c r="R29" s="15"/>
    </row>
    <row r="30" spans="2:18" ht="14" x14ac:dyDescent="0.15">
      <c r="C30" s="45"/>
      <c r="D30" s="49"/>
      <c r="F30" s="21" t="s">
        <v>62</v>
      </c>
      <c r="G30" s="33"/>
      <c r="H30" s="12" t="s">
        <v>143</v>
      </c>
      <c r="I30" s="30">
        <v>22741.95</v>
      </c>
      <c r="K30" s="37" t="s">
        <v>141</v>
      </c>
      <c r="L30" s="15">
        <v>48500</v>
      </c>
      <c r="N30" s="45" t="s">
        <v>326</v>
      </c>
      <c r="O30" s="15">
        <v>20600</v>
      </c>
      <c r="Q30" s="17" t="s">
        <v>119</v>
      </c>
      <c r="R30" s="15">
        <v>23189</v>
      </c>
    </row>
    <row r="31" spans="2:18" x14ac:dyDescent="0.15">
      <c r="C31" s="45" t="s">
        <v>450</v>
      </c>
      <c r="D31" s="49">
        <v>388000</v>
      </c>
      <c r="F31" s="21"/>
      <c r="G31" s="33"/>
      <c r="H31" s="12" t="s">
        <v>144</v>
      </c>
      <c r="I31" s="30">
        <v>14258.25</v>
      </c>
      <c r="K31" s="37" t="s">
        <v>349</v>
      </c>
      <c r="L31" s="15">
        <v>48500</v>
      </c>
      <c r="N31" s="45"/>
      <c r="O31" s="15"/>
      <c r="Q31" s="17" t="s">
        <v>120</v>
      </c>
      <c r="R31" s="15">
        <v>23189</v>
      </c>
    </row>
    <row r="32" spans="2:18" ht="14" thickBot="1" x14ac:dyDescent="0.2">
      <c r="C32" s="45"/>
      <c r="D32" s="49"/>
      <c r="F32" s="22"/>
      <c r="G32" s="33"/>
      <c r="H32" s="12" t="s">
        <v>145</v>
      </c>
      <c r="I32" s="30">
        <v>15700.85</v>
      </c>
      <c r="K32" s="37"/>
      <c r="L32" s="15"/>
      <c r="N32" s="47" t="s">
        <v>328</v>
      </c>
      <c r="O32" s="15"/>
      <c r="Q32" s="17" t="s">
        <v>121</v>
      </c>
      <c r="R32" s="15">
        <v>23189</v>
      </c>
    </row>
    <row r="33" spans="3:18" ht="14" thickTop="1" x14ac:dyDescent="0.15">
      <c r="C33" s="45" t="s">
        <v>451</v>
      </c>
      <c r="D33" s="49">
        <v>172000</v>
      </c>
      <c r="G33" s="33"/>
      <c r="H33" s="12" t="s">
        <v>146</v>
      </c>
      <c r="I33" s="30">
        <v>16721.400000000001</v>
      </c>
      <c r="K33" s="37" t="s">
        <v>438</v>
      </c>
      <c r="L33" s="15">
        <v>48500</v>
      </c>
      <c r="N33" s="45" t="s">
        <v>329</v>
      </c>
      <c r="O33" s="15">
        <v>15200</v>
      </c>
      <c r="Q33" s="17" t="s">
        <v>122</v>
      </c>
      <c r="R33" s="15">
        <v>23189</v>
      </c>
    </row>
    <row r="34" spans="3:18" x14ac:dyDescent="0.15">
      <c r="C34" s="45"/>
      <c r="D34" s="49"/>
      <c r="G34" s="33"/>
      <c r="H34" s="12" t="s">
        <v>147</v>
      </c>
      <c r="I34" s="30">
        <v>14495.95</v>
      </c>
      <c r="K34" s="37" t="s">
        <v>433</v>
      </c>
      <c r="L34" s="15">
        <v>48500</v>
      </c>
      <c r="N34" s="45" t="s">
        <v>330</v>
      </c>
      <c r="O34" s="15">
        <v>15200</v>
      </c>
      <c r="Q34" s="17" t="s">
        <v>123</v>
      </c>
      <c r="R34" s="15">
        <v>19196</v>
      </c>
    </row>
    <row r="35" spans="3:18" x14ac:dyDescent="0.15">
      <c r="C35" s="45"/>
      <c r="D35" s="49"/>
      <c r="G35" s="33"/>
      <c r="H35" s="12" t="s">
        <v>148</v>
      </c>
      <c r="I35" s="30">
        <v>17659.95</v>
      </c>
      <c r="K35" s="45" t="s">
        <v>439</v>
      </c>
      <c r="L35" s="15">
        <v>43000</v>
      </c>
      <c r="N35" s="45" t="s">
        <v>331</v>
      </c>
      <c r="O35" s="15">
        <v>15200</v>
      </c>
      <c r="Q35" s="17" t="s">
        <v>124</v>
      </c>
      <c r="R35" s="15">
        <v>19196</v>
      </c>
    </row>
    <row r="36" spans="3:18" x14ac:dyDescent="0.15">
      <c r="C36" s="45" t="s">
        <v>452</v>
      </c>
      <c r="D36" s="49">
        <v>164148.6</v>
      </c>
      <c r="F36" s="20" t="s">
        <v>24</v>
      </c>
      <c r="G36" s="33"/>
      <c r="H36" s="12" t="s">
        <v>149</v>
      </c>
      <c r="I36" s="30">
        <v>15782.85</v>
      </c>
      <c r="K36" s="37" t="s">
        <v>440</v>
      </c>
      <c r="L36" s="15">
        <v>43000</v>
      </c>
      <c r="N36" s="44"/>
      <c r="O36" s="15"/>
      <c r="Q36" s="17" t="s">
        <v>125</v>
      </c>
      <c r="R36" s="15">
        <v>23189</v>
      </c>
    </row>
    <row r="37" spans="3:18" x14ac:dyDescent="0.15">
      <c r="C37" s="45"/>
      <c r="D37" s="49"/>
      <c r="F37" s="23">
        <v>260</v>
      </c>
      <c r="G37" s="33"/>
      <c r="H37" s="12" t="s">
        <v>150</v>
      </c>
      <c r="I37" s="30">
        <v>15118.950000000003</v>
      </c>
      <c r="K37" s="37"/>
      <c r="L37" s="15"/>
      <c r="N37" s="47" t="s">
        <v>332</v>
      </c>
      <c r="O37" s="15"/>
      <c r="Q37" s="17" t="s">
        <v>126</v>
      </c>
      <c r="R37" s="15">
        <v>20527</v>
      </c>
    </row>
    <row r="38" spans="3:18" x14ac:dyDescent="0.15">
      <c r="C38" s="45" t="s">
        <v>453</v>
      </c>
      <c r="D38" s="49">
        <v>172660.95</v>
      </c>
      <c r="F38" s="23">
        <v>1070</v>
      </c>
      <c r="G38" s="58"/>
      <c r="H38" s="12" t="s">
        <v>151</v>
      </c>
      <c r="I38" s="30">
        <v>12450.9</v>
      </c>
      <c r="K38" s="37" t="s">
        <v>350</v>
      </c>
      <c r="L38" s="15">
        <v>81000</v>
      </c>
      <c r="N38" s="45" t="s">
        <v>333</v>
      </c>
      <c r="O38" s="15">
        <v>24500</v>
      </c>
      <c r="Q38" s="17" t="s">
        <v>127</v>
      </c>
      <c r="R38" s="15">
        <v>20527</v>
      </c>
    </row>
    <row r="39" spans="3:18" ht="14" thickBot="1" x14ac:dyDescent="0.2">
      <c r="C39" s="45"/>
      <c r="D39" s="49"/>
      <c r="F39" s="23">
        <v>1250</v>
      </c>
      <c r="G39" s="58"/>
      <c r="H39" s="12" t="s">
        <v>152</v>
      </c>
      <c r="I39" s="30">
        <v>14495.95</v>
      </c>
      <c r="K39" s="18"/>
      <c r="L39" s="19"/>
      <c r="N39" s="45" t="s">
        <v>334</v>
      </c>
      <c r="O39" s="15">
        <v>24500</v>
      </c>
      <c r="Q39" s="17" t="s">
        <v>128</v>
      </c>
      <c r="R39" s="15">
        <v>20527</v>
      </c>
    </row>
    <row r="40" spans="3:18" ht="15" thickTop="1" thickBot="1" x14ac:dyDescent="0.2">
      <c r="C40" s="45" t="s">
        <v>454</v>
      </c>
      <c r="D40" s="49">
        <v>178000</v>
      </c>
      <c r="F40" s="24">
        <v>1490</v>
      </c>
      <c r="G40" s="58"/>
      <c r="H40" s="36" t="s">
        <v>184</v>
      </c>
      <c r="I40" s="30">
        <v>12577.95</v>
      </c>
      <c r="N40" s="45" t="s">
        <v>335</v>
      </c>
      <c r="O40" s="15">
        <v>24500</v>
      </c>
      <c r="Q40" s="17" t="s">
        <v>129</v>
      </c>
      <c r="R40" s="15">
        <v>20527</v>
      </c>
    </row>
    <row r="41" spans="3:18" ht="14" thickTop="1" x14ac:dyDescent="0.15">
      <c r="C41" s="45"/>
      <c r="D41" s="49"/>
      <c r="G41" s="33"/>
      <c r="H41" s="36" t="s">
        <v>185</v>
      </c>
      <c r="I41" s="30">
        <v>17659.95</v>
      </c>
      <c r="N41" s="45" t="s">
        <v>336</v>
      </c>
      <c r="O41" s="15">
        <v>24500</v>
      </c>
      <c r="Q41" s="17" t="s">
        <v>130</v>
      </c>
      <c r="R41" s="15">
        <v>21374</v>
      </c>
    </row>
    <row r="42" spans="3:18" x14ac:dyDescent="0.15">
      <c r="C42" s="45" t="s">
        <v>455</v>
      </c>
      <c r="D42" s="49">
        <v>254000</v>
      </c>
      <c r="G42" s="33"/>
      <c r="H42" s="36" t="s">
        <v>194</v>
      </c>
      <c r="I42" s="30">
        <v>16389.45</v>
      </c>
      <c r="N42" s="45" t="s">
        <v>337</v>
      </c>
      <c r="O42" s="15">
        <v>24500</v>
      </c>
      <c r="Q42" s="17" t="s">
        <v>175</v>
      </c>
      <c r="R42" s="15">
        <v>23068</v>
      </c>
    </row>
    <row r="43" spans="3:18" x14ac:dyDescent="0.15">
      <c r="C43" s="45"/>
      <c r="D43" s="49"/>
      <c r="G43" s="33"/>
      <c r="H43" s="36" t="s">
        <v>228</v>
      </c>
      <c r="I43" s="30">
        <v>14495.95</v>
      </c>
      <c r="N43" s="45" t="s">
        <v>338</v>
      </c>
      <c r="O43" s="15">
        <v>24500</v>
      </c>
      <c r="Q43" s="17" t="s">
        <v>176</v>
      </c>
      <c r="R43" s="15">
        <v>23068</v>
      </c>
    </row>
    <row r="44" spans="3:18" x14ac:dyDescent="0.15">
      <c r="C44" s="45" t="s">
        <v>456</v>
      </c>
      <c r="D44" s="49">
        <v>250161.45</v>
      </c>
      <c r="F44" s="20" t="s">
        <v>139</v>
      </c>
      <c r="G44" s="33"/>
      <c r="H44" s="36"/>
      <c r="I44" s="30"/>
      <c r="J44" s="28"/>
      <c r="N44" s="45" t="s">
        <v>339</v>
      </c>
      <c r="O44" s="15">
        <v>24500</v>
      </c>
      <c r="Q44" s="17" t="s">
        <v>177</v>
      </c>
      <c r="R44" s="15">
        <v>24278</v>
      </c>
    </row>
    <row r="45" spans="3:18" ht="14" x14ac:dyDescent="0.15">
      <c r="C45" s="45"/>
      <c r="D45" s="49"/>
      <c r="F45" s="38" t="s">
        <v>419</v>
      </c>
      <c r="G45" s="33"/>
      <c r="H45" s="36" t="s">
        <v>229</v>
      </c>
      <c r="I45" s="30">
        <v>10971.35</v>
      </c>
      <c r="J45" s="28"/>
      <c r="N45" s="45" t="s">
        <v>340</v>
      </c>
      <c r="O45" s="15">
        <v>24500</v>
      </c>
      <c r="Q45" s="45" t="s">
        <v>306</v>
      </c>
      <c r="R45" s="15">
        <v>21979</v>
      </c>
    </row>
    <row r="46" spans="3:18" ht="14" x14ac:dyDescent="0.15">
      <c r="C46" s="45"/>
      <c r="D46" s="49"/>
      <c r="F46" s="38" t="s">
        <v>390</v>
      </c>
      <c r="G46" s="33"/>
      <c r="H46" s="36" t="s">
        <v>230</v>
      </c>
      <c r="I46" s="30">
        <v>10971.35</v>
      </c>
      <c r="J46" s="28"/>
      <c r="N46" s="45" t="s">
        <v>341</v>
      </c>
      <c r="O46" s="15">
        <v>24500</v>
      </c>
      <c r="Q46" s="37"/>
      <c r="R46" s="15"/>
    </row>
    <row r="47" spans="3:18" ht="14" x14ac:dyDescent="0.15">
      <c r="C47" s="45" t="s">
        <v>358</v>
      </c>
      <c r="D47" s="49">
        <v>480000</v>
      </c>
      <c r="F47" s="38" t="s">
        <v>193</v>
      </c>
      <c r="G47" s="33"/>
      <c r="H47" s="36" t="s">
        <v>231</v>
      </c>
      <c r="I47" s="30">
        <v>11100</v>
      </c>
      <c r="J47" s="28"/>
      <c r="N47" s="45" t="s">
        <v>342</v>
      </c>
      <c r="O47" s="15">
        <v>24500</v>
      </c>
      <c r="Q47" s="17" t="s">
        <v>131</v>
      </c>
      <c r="R47" s="15">
        <v>17018</v>
      </c>
    </row>
    <row r="48" spans="3:18" ht="14" x14ac:dyDescent="0.15">
      <c r="C48" s="45"/>
      <c r="D48" s="49"/>
      <c r="F48" s="38" t="s">
        <v>418</v>
      </c>
      <c r="G48" s="33"/>
      <c r="H48" s="36" t="s">
        <v>232</v>
      </c>
      <c r="I48" s="30">
        <v>11100</v>
      </c>
      <c r="J48" s="28"/>
      <c r="N48" s="45" t="s">
        <v>343</v>
      </c>
      <c r="O48" s="15">
        <v>24500</v>
      </c>
      <c r="Q48" s="17" t="s">
        <v>132</v>
      </c>
      <c r="R48" s="15">
        <v>17018</v>
      </c>
    </row>
    <row r="49" spans="3:18" ht="14" x14ac:dyDescent="0.15">
      <c r="C49" s="45" t="s">
        <v>457</v>
      </c>
      <c r="D49" s="49">
        <v>198000</v>
      </c>
      <c r="F49" s="48" t="s">
        <v>424</v>
      </c>
      <c r="G49" s="33"/>
      <c r="H49" s="36" t="s">
        <v>233</v>
      </c>
      <c r="I49" s="30">
        <v>13971.35</v>
      </c>
      <c r="N49" s="37" t="s">
        <v>344</v>
      </c>
      <c r="O49" s="15">
        <v>24500</v>
      </c>
      <c r="Q49" s="17" t="s">
        <v>133</v>
      </c>
      <c r="R49" s="15">
        <v>20527</v>
      </c>
    </row>
    <row r="50" spans="3:18" ht="15" thickBot="1" x14ac:dyDescent="0.2">
      <c r="C50" s="45"/>
      <c r="D50" s="49"/>
      <c r="F50" s="78" t="s">
        <v>140</v>
      </c>
      <c r="G50" s="33"/>
      <c r="H50" s="36" t="s">
        <v>234</v>
      </c>
      <c r="I50" s="30">
        <v>12971.35</v>
      </c>
      <c r="J50" s="28"/>
      <c r="N50" s="18"/>
      <c r="O50" s="16"/>
      <c r="Q50" s="17" t="s">
        <v>134</v>
      </c>
      <c r="R50" s="15">
        <v>21659</v>
      </c>
    </row>
    <row r="51" spans="3:18" ht="14" thickTop="1" x14ac:dyDescent="0.15">
      <c r="C51" s="45" t="s">
        <v>458</v>
      </c>
      <c r="D51" s="49">
        <v>211000</v>
      </c>
      <c r="G51" s="33"/>
      <c r="H51" s="36" t="s">
        <v>235</v>
      </c>
      <c r="I51" s="30">
        <v>12971.35</v>
      </c>
      <c r="J51" s="28"/>
      <c r="Q51" s="17" t="s">
        <v>135</v>
      </c>
      <c r="R51" s="15">
        <v>24278</v>
      </c>
    </row>
    <row r="52" spans="3:18" x14ac:dyDescent="0.15">
      <c r="C52" s="45"/>
      <c r="D52" s="49"/>
      <c r="G52" s="33"/>
      <c r="H52" s="36" t="s">
        <v>236</v>
      </c>
      <c r="I52" s="30">
        <v>16721.400000000001</v>
      </c>
      <c r="J52" s="28"/>
      <c r="Q52" s="17" t="s">
        <v>136</v>
      </c>
      <c r="R52" s="15">
        <v>24278</v>
      </c>
    </row>
    <row r="53" spans="3:18" x14ac:dyDescent="0.15">
      <c r="C53" s="45" t="s">
        <v>459</v>
      </c>
      <c r="D53" s="49">
        <v>183000</v>
      </c>
      <c r="F53" s="20" t="s">
        <v>200</v>
      </c>
      <c r="G53" s="33"/>
      <c r="H53" s="36" t="s">
        <v>237</v>
      </c>
      <c r="I53" s="30">
        <v>17721.400000000001</v>
      </c>
      <c r="J53" s="28"/>
      <c r="Q53" s="17" t="s">
        <v>137</v>
      </c>
      <c r="R53" s="15">
        <v>24278</v>
      </c>
    </row>
    <row r="54" spans="3:18" ht="14" x14ac:dyDescent="0.15">
      <c r="C54" s="45"/>
      <c r="D54" s="49"/>
      <c r="F54" s="38" t="s">
        <v>201</v>
      </c>
      <c r="G54" s="33"/>
      <c r="H54" s="36" t="s">
        <v>238</v>
      </c>
      <c r="I54" s="30">
        <v>17200</v>
      </c>
      <c r="Q54" s="17" t="s">
        <v>138</v>
      </c>
      <c r="R54" s="15">
        <v>22869</v>
      </c>
    </row>
    <row r="55" spans="3:18" ht="14" x14ac:dyDescent="0.15">
      <c r="C55" s="45" t="s">
        <v>460</v>
      </c>
      <c r="D55" s="49">
        <v>213000</v>
      </c>
      <c r="F55" s="38" t="s">
        <v>202</v>
      </c>
      <c r="G55" s="33"/>
      <c r="H55" s="36" t="s">
        <v>239</v>
      </c>
      <c r="I55" s="30">
        <v>17721.400000000001</v>
      </c>
      <c r="J55" s="28"/>
      <c r="Q55" s="17" t="s">
        <v>174</v>
      </c>
      <c r="R55" s="15">
        <v>20527</v>
      </c>
    </row>
    <row r="56" spans="3:18" ht="14" x14ac:dyDescent="0.15">
      <c r="C56" s="45"/>
      <c r="D56" s="49"/>
      <c r="F56" s="38" t="s">
        <v>203</v>
      </c>
      <c r="G56" s="33"/>
      <c r="H56" s="36" t="s">
        <v>240</v>
      </c>
      <c r="I56" s="30">
        <v>17721.400000000001</v>
      </c>
      <c r="Q56" s="17" t="s">
        <v>173</v>
      </c>
      <c r="R56" s="15">
        <v>15609.000000000002</v>
      </c>
    </row>
    <row r="57" spans="3:18" ht="14" x14ac:dyDescent="0.15">
      <c r="C57" s="45" t="s">
        <v>359</v>
      </c>
      <c r="D57" s="49">
        <v>410000</v>
      </c>
      <c r="F57" s="38" t="s">
        <v>204</v>
      </c>
      <c r="G57" s="33"/>
      <c r="H57" s="36" t="s">
        <v>241</v>
      </c>
      <c r="I57" s="30">
        <v>16721.400000000001</v>
      </c>
      <c r="J57" s="28"/>
      <c r="Q57" s="17" t="s">
        <v>172</v>
      </c>
      <c r="R57" s="15">
        <v>17018</v>
      </c>
    </row>
    <row r="58" spans="3:18" ht="14" x14ac:dyDescent="0.15">
      <c r="C58" s="45"/>
      <c r="D58" s="49"/>
      <c r="F58" s="38" t="s">
        <v>205</v>
      </c>
      <c r="G58" s="33"/>
      <c r="H58" s="36" t="s">
        <v>242</v>
      </c>
      <c r="I58" s="30">
        <v>15754.2</v>
      </c>
      <c r="J58" s="28"/>
      <c r="Q58" s="17" t="s">
        <v>171</v>
      </c>
      <c r="R58" s="15">
        <v>20527</v>
      </c>
    </row>
    <row r="59" spans="3:18" ht="14" x14ac:dyDescent="0.15">
      <c r="C59" s="45"/>
      <c r="D59" s="49"/>
      <c r="F59" s="38" t="s">
        <v>206</v>
      </c>
      <c r="G59" s="33"/>
      <c r="H59" s="36" t="s">
        <v>243</v>
      </c>
      <c r="I59" s="30">
        <v>19389.45</v>
      </c>
      <c r="Q59" s="17" t="s">
        <v>170</v>
      </c>
      <c r="R59" s="15">
        <v>23068</v>
      </c>
    </row>
    <row r="60" spans="3:18" ht="14" x14ac:dyDescent="0.15">
      <c r="C60" s="45"/>
      <c r="D60" s="49"/>
      <c r="F60" s="38" t="s">
        <v>207</v>
      </c>
      <c r="G60" s="33"/>
      <c r="H60" s="36" t="s">
        <v>244</v>
      </c>
      <c r="I60" s="30">
        <v>19389.45</v>
      </c>
      <c r="J60" s="28"/>
      <c r="Q60" s="17" t="s">
        <v>169</v>
      </c>
      <c r="R60" s="15">
        <v>18349</v>
      </c>
    </row>
    <row r="61" spans="3:18" x14ac:dyDescent="0.15">
      <c r="C61" s="45" t="s">
        <v>461</v>
      </c>
      <c r="D61" s="49">
        <v>183000</v>
      </c>
      <c r="F61" s="21"/>
      <c r="G61" s="33"/>
      <c r="H61" s="36" t="s">
        <v>245</v>
      </c>
      <c r="I61" s="30">
        <v>19389.45</v>
      </c>
      <c r="J61" s="28"/>
      <c r="Q61" s="17" t="s">
        <v>168</v>
      </c>
      <c r="R61" s="15">
        <v>24641</v>
      </c>
    </row>
    <row r="62" spans="3:18" ht="14" thickBot="1" x14ac:dyDescent="0.2">
      <c r="C62" s="45"/>
      <c r="D62" s="49"/>
      <c r="F62" s="22"/>
      <c r="G62" s="33"/>
      <c r="H62" s="36" t="s">
        <v>246</v>
      </c>
      <c r="I62" s="30">
        <v>19389.45</v>
      </c>
      <c r="J62" s="28"/>
      <c r="Q62" s="17" t="s">
        <v>167</v>
      </c>
      <c r="R62" s="15">
        <v>23189</v>
      </c>
    </row>
    <row r="63" spans="3:18" ht="14" thickTop="1" x14ac:dyDescent="0.15">
      <c r="C63" s="45" t="s">
        <v>462</v>
      </c>
      <c r="D63" s="49">
        <v>203000</v>
      </c>
      <c r="G63" s="33"/>
      <c r="H63" s="36" t="s">
        <v>247</v>
      </c>
      <c r="I63" s="30">
        <v>18500</v>
      </c>
      <c r="J63" s="28"/>
      <c r="Q63" s="17" t="s">
        <v>166</v>
      </c>
      <c r="R63" s="15">
        <v>16534</v>
      </c>
    </row>
    <row r="64" spans="3:18" x14ac:dyDescent="0.15">
      <c r="C64" s="45"/>
      <c r="D64" s="49"/>
      <c r="H64" s="43" t="s">
        <v>248</v>
      </c>
      <c r="I64" s="30">
        <v>22659.95</v>
      </c>
      <c r="Q64" s="17" t="s">
        <v>165</v>
      </c>
      <c r="R64" s="15">
        <v>23189</v>
      </c>
    </row>
    <row r="65" spans="3:18" x14ac:dyDescent="0.15">
      <c r="C65" s="45"/>
      <c r="D65" s="49"/>
      <c r="F65" s="20" t="s">
        <v>208</v>
      </c>
      <c r="H65" s="43" t="s">
        <v>249</v>
      </c>
      <c r="I65" s="30">
        <v>22389.45</v>
      </c>
      <c r="Q65" s="45" t="s">
        <v>307</v>
      </c>
      <c r="R65" s="15">
        <v>24399</v>
      </c>
    </row>
    <row r="66" spans="3:18" x14ac:dyDescent="0.15">
      <c r="C66" s="45"/>
      <c r="D66" s="49"/>
      <c r="F66" s="40" t="s">
        <v>209</v>
      </c>
      <c r="H66" s="43" t="s">
        <v>250</v>
      </c>
      <c r="I66" s="30">
        <v>22389.45</v>
      </c>
      <c r="Q66" s="45" t="s">
        <v>308</v>
      </c>
      <c r="R66" s="15">
        <v>25004</v>
      </c>
    </row>
    <row r="67" spans="3:18" x14ac:dyDescent="0.15">
      <c r="C67" s="45" t="s">
        <v>463</v>
      </c>
      <c r="D67" s="49">
        <v>219000</v>
      </c>
      <c r="F67" s="40" t="s">
        <v>210</v>
      </c>
      <c r="H67" s="43" t="s">
        <v>251</v>
      </c>
      <c r="I67" s="30">
        <v>18721.400000000001</v>
      </c>
      <c r="Q67" s="45" t="s">
        <v>309</v>
      </c>
      <c r="R67" s="15">
        <v>23189</v>
      </c>
    </row>
    <row r="68" spans="3:18" x14ac:dyDescent="0.15">
      <c r="C68" s="45"/>
      <c r="D68" s="49"/>
      <c r="F68" s="40" t="s">
        <v>211</v>
      </c>
      <c r="H68" s="43" t="s">
        <v>252</v>
      </c>
      <c r="I68" s="30">
        <v>19500</v>
      </c>
      <c r="Q68" s="45" t="s">
        <v>310</v>
      </c>
      <c r="R68" s="15">
        <v>23189</v>
      </c>
    </row>
    <row r="69" spans="3:18" x14ac:dyDescent="0.15">
      <c r="C69" s="45" t="s">
        <v>464</v>
      </c>
      <c r="D69" s="49">
        <v>172000</v>
      </c>
      <c r="F69" s="40" t="s">
        <v>212</v>
      </c>
      <c r="H69" s="43" t="s">
        <v>253</v>
      </c>
      <c r="I69" s="30">
        <v>19118.95</v>
      </c>
      <c r="Q69" s="45" t="s">
        <v>311</v>
      </c>
      <c r="R69" s="15">
        <v>23189</v>
      </c>
    </row>
    <row r="70" spans="3:18" x14ac:dyDescent="0.15">
      <c r="C70" s="45"/>
      <c r="D70" s="49"/>
      <c r="F70" s="40" t="s">
        <v>213</v>
      </c>
      <c r="H70" s="43" t="s">
        <v>254</v>
      </c>
      <c r="I70" s="30">
        <v>19118.95</v>
      </c>
      <c r="Q70" s="17"/>
      <c r="R70" s="15"/>
    </row>
    <row r="71" spans="3:18" x14ac:dyDescent="0.15">
      <c r="C71" s="45" t="s">
        <v>465</v>
      </c>
      <c r="D71" s="49">
        <v>192000</v>
      </c>
      <c r="F71" s="40" t="s">
        <v>214</v>
      </c>
      <c r="H71" s="43" t="s">
        <v>255</v>
      </c>
      <c r="I71" s="30">
        <v>19500</v>
      </c>
      <c r="Q71" s="17" t="s">
        <v>164</v>
      </c>
      <c r="R71" s="15">
        <v>15687</v>
      </c>
    </row>
    <row r="72" spans="3:18" x14ac:dyDescent="0.15">
      <c r="C72" s="45"/>
      <c r="D72" s="49"/>
      <c r="F72" s="40"/>
      <c r="H72" s="43" t="s">
        <v>256</v>
      </c>
      <c r="I72" s="30">
        <v>17450.900000000001</v>
      </c>
      <c r="Q72" s="17" t="s">
        <v>163</v>
      </c>
      <c r="R72" s="15">
        <v>15687</v>
      </c>
    </row>
    <row r="73" spans="3:18" x14ac:dyDescent="0.15">
      <c r="C73" s="45" t="s">
        <v>466</v>
      </c>
      <c r="D73" s="49">
        <v>242000</v>
      </c>
      <c r="F73" s="40" t="s">
        <v>215</v>
      </c>
      <c r="H73" s="43" t="s">
        <v>257</v>
      </c>
      <c r="I73" s="30">
        <v>19450.900000000001</v>
      </c>
      <c r="Q73" s="17" t="s">
        <v>162</v>
      </c>
      <c r="R73" s="15">
        <v>15687</v>
      </c>
    </row>
    <row r="74" spans="3:18" x14ac:dyDescent="0.15">
      <c r="C74" s="45"/>
      <c r="D74" s="49"/>
      <c r="F74" s="40" t="s">
        <v>217</v>
      </c>
      <c r="H74" s="43" t="s">
        <v>258</v>
      </c>
      <c r="I74" s="30">
        <v>21118.95</v>
      </c>
      <c r="Q74" s="17" t="s">
        <v>161</v>
      </c>
      <c r="R74" s="15">
        <v>15687</v>
      </c>
    </row>
    <row r="75" spans="3:18" x14ac:dyDescent="0.15">
      <c r="C75" s="45"/>
      <c r="D75" s="49"/>
      <c r="F75" s="40"/>
      <c r="H75" s="43" t="s">
        <v>259</v>
      </c>
      <c r="I75" s="30">
        <v>19200</v>
      </c>
      <c r="Q75" s="17" t="s">
        <v>160</v>
      </c>
      <c r="R75" s="15">
        <v>15687</v>
      </c>
    </row>
    <row r="76" spans="3:18" x14ac:dyDescent="0.15">
      <c r="C76" s="45"/>
      <c r="D76" s="49"/>
      <c r="F76" s="40" t="s">
        <v>220</v>
      </c>
      <c r="H76" s="43" t="s">
        <v>260</v>
      </c>
      <c r="I76" s="30">
        <v>18848.45</v>
      </c>
      <c r="Q76" s="17" t="s">
        <v>159</v>
      </c>
      <c r="R76" s="15">
        <v>15687</v>
      </c>
    </row>
    <row r="77" spans="3:18" x14ac:dyDescent="0.15">
      <c r="C77" s="45" t="s">
        <v>467</v>
      </c>
      <c r="D77" s="49">
        <v>333000</v>
      </c>
      <c r="F77" s="40" t="s">
        <v>221</v>
      </c>
      <c r="H77" s="43" t="s">
        <v>261</v>
      </c>
      <c r="I77" s="30">
        <v>19754.2</v>
      </c>
      <c r="Q77" s="17" t="s">
        <v>158</v>
      </c>
      <c r="R77" s="15">
        <v>15687</v>
      </c>
    </row>
    <row r="78" spans="3:18" x14ac:dyDescent="0.15">
      <c r="C78" s="45"/>
      <c r="D78" s="49"/>
      <c r="F78" s="40" t="s">
        <v>218</v>
      </c>
      <c r="H78" s="43" t="s">
        <v>262</v>
      </c>
      <c r="I78" s="30">
        <v>19754.2</v>
      </c>
      <c r="Q78" s="17" t="s">
        <v>157</v>
      </c>
      <c r="R78" s="15">
        <v>15687</v>
      </c>
    </row>
    <row r="79" spans="3:18" x14ac:dyDescent="0.15">
      <c r="C79" s="45"/>
      <c r="D79" s="49"/>
      <c r="F79" s="40" t="s">
        <v>219</v>
      </c>
      <c r="H79" s="43" t="s">
        <v>263</v>
      </c>
      <c r="I79" s="30">
        <v>19754.2</v>
      </c>
      <c r="Q79" s="17" t="s">
        <v>156</v>
      </c>
      <c r="R79" s="15">
        <v>15687</v>
      </c>
    </row>
    <row r="80" spans="3:18" x14ac:dyDescent="0.15">
      <c r="C80" s="45"/>
      <c r="D80" s="49"/>
      <c r="F80" s="40" t="s">
        <v>222</v>
      </c>
      <c r="H80" s="43" t="s">
        <v>264</v>
      </c>
      <c r="I80" s="30">
        <v>19754.2</v>
      </c>
      <c r="Q80" s="17" t="s">
        <v>155</v>
      </c>
      <c r="R80" s="15">
        <v>15687</v>
      </c>
    </row>
    <row r="81" spans="3:18" x14ac:dyDescent="0.15">
      <c r="C81" s="45"/>
      <c r="D81" s="49"/>
      <c r="F81" s="40"/>
      <c r="H81" s="43" t="s">
        <v>265</v>
      </c>
      <c r="I81" s="30">
        <v>19500</v>
      </c>
      <c r="Q81" s="17" t="s">
        <v>154</v>
      </c>
      <c r="R81" s="15">
        <v>15687</v>
      </c>
    </row>
    <row r="82" spans="3:18" x14ac:dyDescent="0.15">
      <c r="C82" s="45"/>
      <c r="D82" s="49"/>
      <c r="F82" s="40" t="s">
        <v>216</v>
      </c>
      <c r="H82" s="43" t="s">
        <v>266</v>
      </c>
      <c r="I82" s="30">
        <v>22118.95</v>
      </c>
      <c r="Q82" s="17" t="s">
        <v>153</v>
      </c>
      <c r="R82" s="15">
        <v>15687</v>
      </c>
    </row>
    <row r="83" spans="3:18" x14ac:dyDescent="0.15">
      <c r="C83" s="45"/>
      <c r="D83" s="49"/>
      <c r="F83" s="40" t="s">
        <v>223</v>
      </c>
      <c r="H83" s="43" t="s">
        <v>267</v>
      </c>
      <c r="I83" s="30">
        <v>18721.400000000001</v>
      </c>
      <c r="Q83" s="37"/>
      <c r="R83" s="15"/>
    </row>
    <row r="84" spans="3:18" x14ac:dyDescent="0.15">
      <c r="C84" s="45"/>
      <c r="D84" s="49"/>
      <c r="F84" s="40" t="s">
        <v>224</v>
      </c>
      <c r="H84" s="43" t="s">
        <v>268</v>
      </c>
      <c r="I84" s="30">
        <v>19118.95</v>
      </c>
      <c r="Q84" s="17" t="s">
        <v>68</v>
      </c>
      <c r="R84" s="15">
        <v>27061</v>
      </c>
    </row>
    <row r="85" spans="3:18" x14ac:dyDescent="0.15">
      <c r="C85" s="45"/>
      <c r="D85" s="49"/>
      <c r="F85" s="40" t="s">
        <v>225</v>
      </c>
      <c r="H85" s="43" t="s">
        <v>269</v>
      </c>
      <c r="I85" s="30">
        <v>19118.95</v>
      </c>
      <c r="Q85" s="17" t="s">
        <v>69</v>
      </c>
      <c r="R85" s="15">
        <v>37467</v>
      </c>
    </row>
    <row r="86" spans="3:18" x14ac:dyDescent="0.15">
      <c r="C86" s="45"/>
      <c r="D86" s="49"/>
      <c r="F86" s="40"/>
      <c r="H86" s="43" t="s">
        <v>270</v>
      </c>
      <c r="I86" s="30">
        <v>25500</v>
      </c>
      <c r="Q86" s="17" t="s">
        <v>70</v>
      </c>
      <c r="R86" s="15">
        <v>39645</v>
      </c>
    </row>
    <row r="87" spans="3:18" x14ac:dyDescent="0.15">
      <c r="C87" s="45" t="s">
        <v>468</v>
      </c>
      <c r="D87" s="49">
        <v>265000</v>
      </c>
      <c r="F87" s="40" t="s">
        <v>226</v>
      </c>
      <c r="H87" s="43" t="s">
        <v>271</v>
      </c>
      <c r="I87" s="30">
        <v>27914.05</v>
      </c>
      <c r="Q87" s="17" t="s">
        <v>71</v>
      </c>
      <c r="R87" s="15">
        <v>37709</v>
      </c>
    </row>
    <row r="88" spans="3:18" x14ac:dyDescent="0.15">
      <c r="C88" s="45"/>
      <c r="D88" s="49"/>
      <c r="F88" s="40" t="s">
        <v>227</v>
      </c>
      <c r="H88" s="43" t="s">
        <v>272</v>
      </c>
      <c r="I88" s="30">
        <v>27914.05</v>
      </c>
      <c r="Q88" s="17" t="s">
        <v>72</v>
      </c>
      <c r="R88" s="15">
        <v>25609</v>
      </c>
    </row>
    <row r="89" spans="3:18" x14ac:dyDescent="0.15">
      <c r="C89" s="45" t="s">
        <v>469</v>
      </c>
      <c r="D89" s="49">
        <v>214587.45</v>
      </c>
      <c r="F89" s="40"/>
      <c r="H89" s="43" t="s">
        <v>273</v>
      </c>
      <c r="I89" s="30">
        <v>19500</v>
      </c>
      <c r="Q89" s="17" t="s">
        <v>73</v>
      </c>
      <c r="R89" s="15">
        <v>32506</v>
      </c>
    </row>
    <row r="90" spans="3:18" ht="14" thickBot="1" x14ac:dyDescent="0.2">
      <c r="C90" s="45"/>
      <c r="D90" s="49"/>
      <c r="F90" s="41"/>
      <c r="H90" s="43" t="s">
        <v>274</v>
      </c>
      <c r="I90" s="30">
        <v>22754.2</v>
      </c>
      <c r="Q90" s="17" t="s">
        <v>74</v>
      </c>
      <c r="R90" s="15">
        <v>22947</v>
      </c>
    </row>
    <row r="91" spans="3:18" ht="14" thickTop="1" x14ac:dyDescent="0.15">
      <c r="C91" s="45" t="s">
        <v>470</v>
      </c>
      <c r="D91" s="49">
        <v>414000</v>
      </c>
      <c r="H91" s="43" t="s">
        <v>275</v>
      </c>
      <c r="I91" s="30">
        <v>19754.2</v>
      </c>
      <c r="Q91" s="17" t="s">
        <v>75</v>
      </c>
      <c r="R91" s="15">
        <v>36378</v>
      </c>
    </row>
    <row r="92" spans="3:18" x14ac:dyDescent="0.15">
      <c r="C92" s="45"/>
      <c r="D92" s="49"/>
      <c r="H92" s="43" t="s">
        <v>276</v>
      </c>
      <c r="I92" s="30">
        <v>19754.2</v>
      </c>
      <c r="Q92" s="17" t="s">
        <v>76</v>
      </c>
      <c r="R92" s="15">
        <v>27908</v>
      </c>
    </row>
    <row r="93" spans="3:18" x14ac:dyDescent="0.15">
      <c r="C93" s="45" t="s">
        <v>471</v>
      </c>
      <c r="D93" s="49">
        <v>417000</v>
      </c>
      <c r="H93" s="43" t="s">
        <v>277</v>
      </c>
      <c r="I93" s="30">
        <v>22930.45</v>
      </c>
      <c r="Q93" s="17" t="s">
        <v>77</v>
      </c>
      <c r="R93" s="15">
        <v>34321</v>
      </c>
    </row>
    <row r="94" spans="3:18" x14ac:dyDescent="0.15">
      <c r="C94" s="45"/>
      <c r="D94" s="49"/>
      <c r="H94" s="43" t="s">
        <v>278</v>
      </c>
      <c r="I94" s="30">
        <v>19754.2</v>
      </c>
      <c r="Q94" s="17" t="s">
        <v>78</v>
      </c>
      <c r="R94" s="15">
        <v>23552</v>
      </c>
    </row>
    <row r="95" spans="3:18" x14ac:dyDescent="0.15">
      <c r="C95" s="45" t="s">
        <v>472</v>
      </c>
      <c r="D95" s="49">
        <v>811849.5</v>
      </c>
      <c r="H95" s="43" t="s">
        <v>279</v>
      </c>
      <c r="I95" s="30">
        <v>23754.2</v>
      </c>
      <c r="Q95" s="17" t="s">
        <v>79</v>
      </c>
      <c r="R95" s="15">
        <v>22221</v>
      </c>
    </row>
    <row r="96" spans="3:18" x14ac:dyDescent="0.15">
      <c r="C96" s="45"/>
      <c r="D96" s="49"/>
      <c r="H96" s="43" t="s">
        <v>280</v>
      </c>
      <c r="I96" s="30">
        <v>21754.2</v>
      </c>
      <c r="Q96" s="17" t="s">
        <v>80</v>
      </c>
      <c r="R96" s="15">
        <v>23189</v>
      </c>
    </row>
    <row r="97" spans="3:19" x14ac:dyDescent="0.15">
      <c r="C97" s="45" t="s">
        <v>473</v>
      </c>
      <c r="D97" s="49">
        <v>811849.5</v>
      </c>
      <c r="H97" s="43" t="s">
        <v>281</v>
      </c>
      <c r="I97" s="30">
        <v>24278.799999999999</v>
      </c>
      <c r="Q97" s="17" t="s">
        <v>81</v>
      </c>
      <c r="R97" s="15">
        <v>24399</v>
      </c>
    </row>
    <row r="98" spans="3:19" x14ac:dyDescent="0.15">
      <c r="C98" s="45"/>
      <c r="D98" s="49"/>
      <c r="H98" s="43"/>
      <c r="I98" s="30"/>
      <c r="Q98" s="17" t="s">
        <v>82</v>
      </c>
      <c r="R98" s="15">
        <v>33111</v>
      </c>
    </row>
    <row r="99" spans="3:19" x14ac:dyDescent="0.15">
      <c r="C99" s="45" t="s">
        <v>485</v>
      </c>
      <c r="D99" s="49">
        <v>420000</v>
      </c>
      <c r="H99" s="42" t="s">
        <v>41</v>
      </c>
      <c r="I99" s="30">
        <v>22741.95</v>
      </c>
      <c r="Q99" s="17" t="s">
        <v>83</v>
      </c>
      <c r="R99" s="15">
        <v>27424</v>
      </c>
    </row>
    <row r="100" spans="3:19" x14ac:dyDescent="0.15">
      <c r="C100" s="45"/>
      <c r="D100" s="49"/>
      <c r="H100" s="42" t="s">
        <v>42</v>
      </c>
      <c r="I100" s="30">
        <v>24393.599999999999</v>
      </c>
      <c r="Q100" s="17" t="s">
        <v>84</v>
      </c>
      <c r="R100" s="15">
        <v>31901</v>
      </c>
    </row>
    <row r="101" spans="3:19" x14ac:dyDescent="0.15">
      <c r="C101" s="45" t="s">
        <v>474</v>
      </c>
      <c r="D101" s="49">
        <v>440000</v>
      </c>
      <c r="H101" s="42" t="s">
        <v>43</v>
      </c>
      <c r="I101" s="30">
        <v>24393.599999999999</v>
      </c>
      <c r="Q101" s="17" t="s">
        <v>85</v>
      </c>
      <c r="R101" s="15">
        <v>21979</v>
      </c>
    </row>
    <row r="102" spans="3:19" x14ac:dyDescent="0.15">
      <c r="C102" s="45"/>
      <c r="D102" s="49"/>
      <c r="H102" s="42" t="s">
        <v>44</v>
      </c>
      <c r="I102" s="30">
        <v>24012.45</v>
      </c>
      <c r="O102" s="11"/>
      <c r="Q102" s="17" t="s">
        <v>86</v>
      </c>
      <c r="R102" s="15">
        <v>25609</v>
      </c>
      <c r="S102" s="28"/>
    </row>
    <row r="103" spans="3:19" x14ac:dyDescent="0.15">
      <c r="C103" s="45" t="s">
        <v>475</v>
      </c>
      <c r="D103" s="49">
        <v>440000</v>
      </c>
      <c r="H103" s="42" t="s">
        <v>45</v>
      </c>
      <c r="I103" s="30">
        <v>29094.450000000004</v>
      </c>
      <c r="Q103" s="17" t="s">
        <v>87</v>
      </c>
      <c r="R103" s="15">
        <v>23189</v>
      </c>
    </row>
    <row r="104" spans="3:19" x14ac:dyDescent="0.15">
      <c r="C104" s="45"/>
      <c r="D104" s="49"/>
      <c r="H104" s="42" t="s">
        <v>46</v>
      </c>
      <c r="I104" s="30">
        <v>10036.950000000001</v>
      </c>
      <c r="Q104" s="17" t="s">
        <v>88</v>
      </c>
      <c r="R104" s="15">
        <v>36741</v>
      </c>
    </row>
    <row r="105" spans="3:19" x14ac:dyDescent="0.15">
      <c r="C105" s="45" t="s">
        <v>476</v>
      </c>
      <c r="D105" s="49">
        <v>420000</v>
      </c>
      <c r="H105" s="42" t="s">
        <v>47</v>
      </c>
      <c r="I105" s="30">
        <v>9147.6000000000022</v>
      </c>
      <c r="Q105" s="17" t="s">
        <v>89</v>
      </c>
      <c r="R105" s="15">
        <v>31659</v>
      </c>
    </row>
    <row r="106" spans="3:19" x14ac:dyDescent="0.15">
      <c r="C106" s="45"/>
      <c r="D106" s="49"/>
      <c r="H106" s="42" t="s">
        <v>48</v>
      </c>
      <c r="I106" s="30">
        <v>12959.1</v>
      </c>
      <c r="Q106" s="17" t="s">
        <v>90</v>
      </c>
      <c r="R106" s="15">
        <v>20527</v>
      </c>
    </row>
    <row r="107" spans="3:19" x14ac:dyDescent="0.15">
      <c r="C107" s="45"/>
      <c r="D107" s="49"/>
      <c r="H107" s="42" t="s">
        <v>49</v>
      </c>
      <c r="I107" s="30">
        <v>14483.700000000003</v>
      </c>
      <c r="Q107" s="17" t="s">
        <v>91</v>
      </c>
      <c r="R107" s="15">
        <v>20527</v>
      </c>
    </row>
    <row r="108" spans="3:19" x14ac:dyDescent="0.15">
      <c r="C108" s="45"/>
      <c r="D108" s="49"/>
      <c r="H108" s="42" t="s">
        <v>50</v>
      </c>
      <c r="I108" s="30">
        <v>16897.650000000001</v>
      </c>
      <c r="Q108" s="17" t="s">
        <v>92</v>
      </c>
      <c r="R108" s="15">
        <v>64329</v>
      </c>
    </row>
    <row r="109" spans="3:19" x14ac:dyDescent="0.15">
      <c r="C109" s="45" t="s">
        <v>477</v>
      </c>
      <c r="D109" s="49">
        <v>290944.5</v>
      </c>
      <c r="H109" s="42" t="s">
        <v>51</v>
      </c>
      <c r="I109" s="30">
        <v>22233.75</v>
      </c>
      <c r="Q109" s="17" t="s">
        <v>93</v>
      </c>
      <c r="R109" s="15">
        <v>110629</v>
      </c>
    </row>
    <row r="110" spans="3:19" x14ac:dyDescent="0.15">
      <c r="C110" s="45"/>
      <c r="D110" s="49"/>
      <c r="H110" s="42" t="s">
        <v>52</v>
      </c>
      <c r="I110" s="30">
        <v>19184.55</v>
      </c>
      <c r="Q110" s="17" t="s">
        <v>94</v>
      </c>
      <c r="R110" s="15">
        <v>34079</v>
      </c>
    </row>
    <row r="111" spans="3:19" x14ac:dyDescent="0.15">
      <c r="C111" s="45" t="s">
        <v>478</v>
      </c>
      <c r="D111" s="49">
        <v>452000</v>
      </c>
      <c r="H111" s="42" t="s">
        <v>53</v>
      </c>
      <c r="I111" s="30">
        <v>16516.500000000004</v>
      </c>
      <c r="Q111" s="17" t="s">
        <v>95</v>
      </c>
      <c r="R111" s="15">
        <v>41823</v>
      </c>
    </row>
    <row r="112" spans="3:19" x14ac:dyDescent="0.15">
      <c r="C112" s="45"/>
      <c r="D112" s="49"/>
      <c r="H112" s="42" t="s">
        <v>54</v>
      </c>
      <c r="I112" s="30">
        <v>13848.450000000003</v>
      </c>
      <c r="Q112" s="37" t="s">
        <v>187</v>
      </c>
      <c r="R112" s="15">
        <v>33232</v>
      </c>
    </row>
    <row r="113" spans="3:18" x14ac:dyDescent="0.15">
      <c r="C113" s="45" t="s">
        <v>479</v>
      </c>
      <c r="D113" s="49">
        <v>432000</v>
      </c>
      <c r="H113" s="42" t="s">
        <v>55</v>
      </c>
      <c r="I113" s="30">
        <v>8766.4500000000007</v>
      </c>
      <c r="Q113" s="45" t="s">
        <v>312</v>
      </c>
      <c r="R113" s="15">
        <v>40129</v>
      </c>
    </row>
    <row r="114" spans="3:18" x14ac:dyDescent="0.15">
      <c r="C114" s="45"/>
      <c r="D114" s="49"/>
      <c r="H114" s="42" t="s">
        <v>56</v>
      </c>
      <c r="I114" s="30">
        <v>8766.4500000000007</v>
      </c>
      <c r="Q114" s="45" t="s">
        <v>313</v>
      </c>
      <c r="R114" s="15">
        <v>30449</v>
      </c>
    </row>
    <row r="115" spans="3:18" x14ac:dyDescent="0.15">
      <c r="C115" s="45"/>
      <c r="D115" s="49"/>
      <c r="H115" s="42" t="s">
        <v>57</v>
      </c>
      <c r="I115" s="30">
        <v>8766.4500000000007</v>
      </c>
      <c r="Q115" s="37" t="s">
        <v>314</v>
      </c>
      <c r="R115" s="15">
        <v>37709</v>
      </c>
    </row>
    <row r="116" spans="3:18" x14ac:dyDescent="0.15">
      <c r="C116" s="45"/>
      <c r="D116" s="49"/>
      <c r="H116" s="42" t="s">
        <v>58</v>
      </c>
      <c r="I116" s="30">
        <v>22233.75</v>
      </c>
      <c r="Q116" s="45" t="s">
        <v>488</v>
      </c>
      <c r="R116" s="15">
        <v>28000</v>
      </c>
    </row>
    <row r="117" spans="3:18" x14ac:dyDescent="0.15">
      <c r="C117" s="45"/>
      <c r="D117" s="49"/>
      <c r="H117" s="42" t="s">
        <v>59</v>
      </c>
      <c r="I117" s="30">
        <v>17659.95</v>
      </c>
      <c r="Q117" s="37" t="s">
        <v>487</v>
      </c>
      <c r="R117" s="15">
        <v>25000</v>
      </c>
    </row>
    <row r="118" spans="3:18" x14ac:dyDescent="0.15">
      <c r="C118" s="45"/>
      <c r="D118" s="49"/>
      <c r="H118" s="42" t="s">
        <v>60</v>
      </c>
      <c r="I118" s="30">
        <v>17659.95</v>
      </c>
      <c r="Q118" s="37"/>
      <c r="R118" s="15"/>
    </row>
    <row r="119" spans="3:18" x14ac:dyDescent="0.15">
      <c r="C119" s="45"/>
      <c r="D119" s="49"/>
      <c r="H119" s="42" t="s">
        <v>61</v>
      </c>
      <c r="I119" s="30">
        <v>16389.45</v>
      </c>
      <c r="Q119" s="39" t="s">
        <v>351</v>
      </c>
      <c r="R119" s="15"/>
    </row>
    <row r="120" spans="3:18" x14ac:dyDescent="0.15">
      <c r="C120" s="45"/>
      <c r="D120" s="49"/>
      <c r="H120" s="43"/>
      <c r="I120" s="30"/>
      <c r="Q120" s="37"/>
      <c r="R120" s="15"/>
    </row>
    <row r="121" spans="3:18" x14ac:dyDescent="0.15">
      <c r="C121" s="45"/>
      <c r="D121" s="49"/>
      <c r="H121" s="43" t="s">
        <v>282</v>
      </c>
      <c r="I121" s="30">
        <v>13848.450000000003</v>
      </c>
      <c r="Q121" s="37" t="s">
        <v>382</v>
      </c>
      <c r="R121" s="15">
        <v>21660</v>
      </c>
    </row>
    <row r="122" spans="3:18" x14ac:dyDescent="0.15">
      <c r="C122" s="45"/>
      <c r="D122" s="49"/>
      <c r="H122" s="43" t="s">
        <v>283</v>
      </c>
      <c r="I122" s="30">
        <v>22741.95</v>
      </c>
      <c r="Q122" s="37" t="s">
        <v>383</v>
      </c>
      <c r="R122" s="15">
        <v>15900</v>
      </c>
    </row>
    <row r="123" spans="3:18" x14ac:dyDescent="0.15">
      <c r="C123" s="45"/>
      <c r="D123" s="49"/>
      <c r="H123" s="43" t="s">
        <v>284</v>
      </c>
      <c r="I123" s="30">
        <v>17659.95</v>
      </c>
      <c r="Q123" s="37" t="s">
        <v>441</v>
      </c>
      <c r="R123" s="15">
        <v>13400</v>
      </c>
    </row>
    <row r="124" spans="3:18" x14ac:dyDescent="0.15">
      <c r="C124" s="45"/>
      <c r="D124" s="49"/>
      <c r="H124" s="43" t="s">
        <v>285</v>
      </c>
      <c r="I124" s="30">
        <v>17659.95</v>
      </c>
      <c r="Q124" s="45" t="s">
        <v>389</v>
      </c>
      <c r="R124" s="15">
        <v>42669</v>
      </c>
    </row>
    <row r="125" spans="3:18" x14ac:dyDescent="0.15">
      <c r="C125" s="45"/>
      <c r="D125" s="49"/>
      <c r="H125" s="43" t="s">
        <v>286</v>
      </c>
      <c r="I125" s="30">
        <v>17659.95</v>
      </c>
      <c r="Q125" s="45"/>
      <c r="R125" s="15"/>
    </row>
    <row r="126" spans="3:18" x14ac:dyDescent="0.15">
      <c r="C126" s="45"/>
      <c r="D126" s="49"/>
      <c r="H126" s="43" t="s">
        <v>287</v>
      </c>
      <c r="I126" s="30">
        <v>17659.95</v>
      </c>
      <c r="Q126" s="45" t="s">
        <v>387</v>
      </c>
      <c r="R126" s="15">
        <v>135828</v>
      </c>
    </row>
    <row r="127" spans="3:18" x14ac:dyDescent="0.15">
      <c r="C127" s="45" t="s">
        <v>480</v>
      </c>
      <c r="D127" s="49">
        <v>443404.5</v>
      </c>
      <c r="H127" s="43" t="s">
        <v>288</v>
      </c>
      <c r="I127" s="30">
        <v>17659.95</v>
      </c>
      <c r="Q127" s="45" t="s">
        <v>386</v>
      </c>
      <c r="R127" s="15">
        <v>192597.9</v>
      </c>
    </row>
    <row r="128" spans="3:18" x14ac:dyDescent="0.15">
      <c r="C128" s="45"/>
      <c r="D128" s="49"/>
      <c r="H128" s="43" t="s">
        <v>289</v>
      </c>
      <c r="I128" s="30">
        <v>22741.95</v>
      </c>
      <c r="Q128" s="45" t="s">
        <v>352</v>
      </c>
      <c r="R128" s="15">
        <v>266200.00000000006</v>
      </c>
    </row>
    <row r="129" spans="3:18" x14ac:dyDescent="0.15">
      <c r="C129" s="45" t="s">
        <v>481</v>
      </c>
      <c r="D129" s="49">
        <v>241395</v>
      </c>
      <c r="H129" s="43" t="s">
        <v>290</v>
      </c>
      <c r="I129" s="30">
        <v>16389.45</v>
      </c>
      <c r="Q129" s="45" t="s">
        <v>388</v>
      </c>
      <c r="R129" s="15">
        <v>61600</v>
      </c>
    </row>
    <row r="130" spans="3:18" x14ac:dyDescent="0.15">
      <c r="C130" s="45"/>
      <c r="D130" s="49"/>
      <c r="H130" s="43" t="s">
        <v>291</v>
      </c>
      <c r="I130" s="30">
        <v>16389.45</v>
      </c>
      <c r="Q130" s="45"/>
      <c r="R130" s="15"/>
    </row>
    <row r="131" spans="3:18" x14ac:dyDescent="0.15">
      <c r="C131" s="45" t="s">
        <v>482</v>
      </c>
      <c r="D131" s="49">
        <v>241395</v>
      </c>
      <c r="H131" s="43" t="s">
        <v>292</v>
      </c>
      <c r="I131" s="30">
        <v>15118.950000000003</v>
      </c>
      <c r="Q131" s="45" t="s">
        <v>381</v>
      </c>
      <c r="R131" s="15">
        <v>24360</v>
      </c>
    </row>
    <row r="132" spans="3:18" x14ac:dyDescent="0.15">
      <c r="C132" s="45"/>
      <c r="D132" s="49"/>
      <c r="H132" s="43" t="s">
        <v>293</v>
      </c>
      <c r="I132" s="30">
        <v>18930.45</v>
      </c>
      <c r="Q132" s="45"/>
      <c r="R132" s="15"/>
    </row>
    <row r="133" spans="3:18" x14ac:dyDescent="0.15">
      <c r="C133" s="45" t="s">
        <v>483</v>
      </c>
      <c r="D133" s="49">
        <v>241395</v>
      </c>
      <c r="H133" s="43" t="s">
        <v>294</v>
      </c>
      <c r="I133" s="30">
        <v>15118.950000000003</v>
      </c>
      <c r="Q133" s="47" t="s">
        <v>353</v>
      </c>
      <c r="R133" s="15"/>
    </row>
    <row r="134" spans="3:18" x14ac:dyDescent="0.15">
      <c r="C134" s="45"/>
      <c r="D134" s="49"/>
      <c r="H134" s="43" t="s">
        <v>295</v>
      </c>
      <c r="I134" s="30">
        <v>17659.95</v>
      </c>
      <c r="Q134" s="37" t="s">
        <v>385</v>
      </c>
      <c r="R134" s="15">
        <v>36600</v>
      </c>
    </row>
    <row r="135" spans="3:18" x14ac:dyDescent="0.15">
      <c r="C135" s="45" t="s">
        <v>360</v>
      </c>
      <c r="D135" s="49">
        <v>546315</v>
      </c>
      <c r="H135" s="43" t="s">
        <v>296</v>
      </c>
      <c r="I135" s="30">
        <v>21471.45</v>
      </c>
      <c r="Q135" s="37"/>
      <c r="R135" s="15"/>
    </row>
    <row r="136" spans="3:18" x14ac:dyDescent="0.15">
      <c r="C136" s="45" t="s">
        <v>484</v>
      </c>
      <c r="D136" s="49">
        <v>359551.5</v>
      </c>
      <c r="H136" s="43" t="s">
        <v>297</v>
      </c>
      <c r="I136" s="30">
        <v>22741.95</v>
      </c>
      <c r="Q136" s="45" t="s">
        <v>415</v>
      </c>
      <c r="R136" s="15">
        <v>16060</v>
      </c>
    </row>
    <row r="137" spans="3:18" x14ac:dyDescent="0.15">
      <c r="C137" s="45" t="s">
        <v>489</v>
      </c>
      <c r="D137" s="49">
        <v>472000</v>
      </c>
      <c r="H137" s="43" t="s">
        <v>298</v>
      </c>
      <c r="I137" s="30">
        <v>24012.45</v>
      </c>
      <c r="Q137" s="45" t="s">
        <v>425</v>
      </c>
      <c r="R137" s="49" t="s">
        <v>426</v>
      </c>
    </row>
    <row r="138" spans="3:18" x14ac:dyDescent="0.15">
      <c r="C138" s="45"/>
      <c r="D138" s="49"/>
      <c r="H138" s="43" t="s">
        <v>299</v>
      </c>
      <c r="I138" s="30">
        <v>24012.45</v>
      </c>
      <c r="Q138" s="45" t="s">
        <v>384</v>
      </c>
      <c r="R138" s="15">
        <v>21600</v>
      </c>
    </row>
    <row r="139" spans="3:18" x14ac:dyDescent="0.15">
      <c r="C139" s="47" t="s">
        <v>361</v>
      </c>
      <c r="D139" s="49"/>
      <c r="H139" s="42"/>
      <c r="I139" s="30"/>
      <c r="Q139" s="17"/>
      <c r="R139" s="15"/>
    </row>
    <row r="140" spans="3:18" ht="14" thickBot="1" x14ac:dyDescent="0.2">
      <c r="C140" s="45" t="s">
        <v>391</v>
      </c>
      <c r="D140" s="49">
        <v>147000</v>
      </c>
      <c r="H140" s="42"/>
      <c r="I140" s="30"/>
      <c r="Q140" s="17"/>
      <c r="R140" s="29"/>
    </row>
    <row r="141" spans="3:18" ht="15" thickTop="1" thickBot="1" x14ac:dyDescent="0.2">
      <c r="C141" s="45" t="s">
        <v>392</v>
      </c>
      <c r="D141" s="49">
        <v>172400</v>
      </c>
      <c r="H141" s="34"/>
      <c r="I141" s="35"/>
      <c r="Q141" s="27"/>
    </row>
    <row r="142" spans="3:18" ht="14" thickTop="1" x14ac:dyDescent="0.15">
      <c r="C142" s="45" t="s">
        <v>393</v>
      </c>
      <c r="D142" s="49">
        <v>197800</v>
      </c>
    </row>
    <row r="143" spans="3:18" x14ac:dyDescent="0.15">
      <c r="C143" s="45" t="s">
        <v>394</v>
      </c>
      <c r="D143" s="49">
        <v>223200</v>
      </c>
    </row>
    <row r="144" spans="3:18" x14ac:dyDescent="0.15">
      <c r="C144" s="45" t="s">
        <v>395</v>
      </c>
      <c r="D144" s="49">
        <v>248600</v>
      </c>
    </row>
    <row r="145" spans="3:4" x14ac:dyDescent="0.15">
      <c r="C145" s="45" t="s">
        <v>396</v>
      </c>
      <c r="D145" s="49">
        <v>274000</v>
      </c>
    </row>
    <row r="146" spans="3:4" x14ac:dyDescent="0.15">
      <c r="C146" s="45" t="s">
        <v>397</v>
      </c>
      <c r="D146" s="49">
        <v>2999400</v>
      </c>
    </row>
    <row r="147" spans="3:4" x14ac:dyDescent="0.15">
      <c r="C147" s="45" t="s">
        <v>398</v>
      </c>
      <c r="D147" s="49">
        <v>324800</v>
      </c>
    </row>
    <row r="148" spans="3:4" x14ac:dyDescent="0.15">
      <c r="C148" s="45" t="s">
        <v>399</v>
      </c>
      <c r="D148" s="49">
        <v>350200</v>
      </c>
    </row>
    <row r="149" spans="3:4" x14ac:dyDescent="0.15">
      <c r="C149" s="45" t="s">
        <v>400</v>
      </c>
      <c r="D149" s="49">
        <v>375600</v>
      </c>
    </row>
    <row r="150" spans="3:4" x14ac:dyDescent="0.15">
      <c r="C150" s="45" t="s">
        <v>401</v>
      </c>
      <c r="D150" s="49">
        <v>391000</v>
      </c>
    </row>
    <row r="151" spans="3:4" x14ac:dyDescent="0.15">
      <c r="C151" s="45" t="s">
        <v>402</v>
      </c>
      <c r="D151" s="49">
        <v>426400</v>
      </c>
    </row>
    <row r="152" spans="3:4" x14ac:dyDescent="0.15">
      <c r="C152" s="45" t="s">
        <v>403</v>
      </c>
      <c r="D152" s="49">
        <v>451800</v>
      </c>
    </row>
    <row r="153" spans="3:4" x14ac:dyDescent="0.15">
      <c r="C153" s="45" t="s">
        <v>404</v>
      </c>
      <c r="D153" s="49">
        <v>477200</v>
      </c>
    </row>
    <row r="154" spans="3:4" x14ac:dyDescent="0.15">
      <c r="C154" s="45" t="s">
        <v>405</v>
      </c>
      <c r="D154" s="49">
        <v>502600</v>
      </c>
    </row>
    <row r="155" spans="3:4" x14ac:dyDescent="0.15">
      <c r="C155" s="45" t="s">
        <v>406</v>
      </c>
      <c r="D155" s="49">
        <v>528000</v>
      </c>
    </row>
    <row r="156" spans="3:4" x14ac:dyDescent="0.15">
      <c r="C156" s="45" t="s">
        <v>407</v>
      </c>
      <c r="D156" s="49">
        <v>553400</v>
      </c>
    </row>
    <row r="157" spans="3:4" x14ac:dyDescent="0.15">
      <c r="C157" s="44"/>
      <c r="D157" s="49"/>
    </row>
    <row r="158" spans="3:4" x14ac:dyDescent="0.15">
      <c r="C158" s="44"/>
      <c r="D158" s="49"/>
    </row>
    <row r="159" spans="3:4" ht="14" x14ac:dyDescent="0.15">
      <c r="C159" s="50" t="s">
        <v>408</v>
      </c>
      <c r="D159" s="49">
        <v>119200</v>
      </c>
    </row>
    <row r="160" spans="3:4" ht="14" x14ac:dyDescent="0.15">
      <c r="C160" s="50" t="s">
        <v>409</v>
      </c>
      <c r="D160" s="49">
        <v>128000</v>
      </c>
    </row>
    <row r="161" spans="3:4" ht="14" x14ac:dyDescent="0.15">
      <c r="C161" s="50" t="s">
        <v>410</v>
      </c>
      <c r="D161" s="49">
        <v>144000</v>
      </c>
    </row>
    <row r="162" spans="3:4" x14ac:dyDescent="0.15">
      <c r="C162" s="17"/>
      <c r="D162" s="15"/>
    </row>
    <row r="163" spans="3:4" x14ac:dyDescent="0.15">
      <c r="C163" s="17"/>
      <c r="D163" s="15"/>
    </row>
    <row r="164" spans="3:4" x14ac:dyDescent="0.15">
      <c r="C164" s="17"/>
      <c r="D164" s="15"/>
    </row>
    <row r="165" spans="3:4" ht="14" thickBot="1" x14ac:dyDescent="0.2">
      <c r="C165" s="18"/>
      <c r="D165" s="16"/>
    </row>
    <row r="166" spans="3:4" ht="14" thickTop="1" x14ac:dyDescent="0.15"/>
  </sheetData>
  <sheetProtection selectLockedCells="1"/>
  <mergeCells count="1">
    <mergeCell ref="B1:D1"/>
  </mergeCells>
  <phoneticPr fontId="0" type="noConversion"/>
  <pageMargins left="0.75" right="0.75" top="1" bottom="1" header="0.5" footer="0.5"/>
  <pageSetup paperSize="9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901"/>
  <sheetViews>
    <sheetView workbookViewId="0">
      <selection activeCell="B10" sqref="B10"/>
    </sheetView>
  </sheetViews>
  <sheetFormatPr baseColWidth="10" defaultColWidth="8.83203125" defaultRowHeight="13" x14ac:dyDescent="0.15"/>
  <cols>
    <col min="1" max="1" width="14.5" customWidth="1"/>
    <col min="2" max="2" width="52.6640625" customWidth="1"/>
    <col min="4" max="4" width="18.33203125" customWidth="1"/>
    <col min="5" max="5" width="18.5" customWidth="1"/>
    <col min="6" max="6" width="18.33203125" customWidth="1"/>
  </cols>
  <sheetData>
    <row r="1" spans="1:6" x14ac:dyDescent="0.15">
      <c r="B1" s="140" t="s">
        <v>198</v>
      </c>
      <c r="D1" s="142" t="s">
        <v>411</v>
      </c>
      <c r="E1" s="142"/>
    </row>
    <row r="2" spans="1:6" x14ac:dyDescent="0.15">
      <c r="B2" s="140"/>
      <c r="D2" s="142"/>
      <c r="E2" s="142"/>
      <c r="F2" s="52" t="s">
        <v>414</v>
      </c>
    </row>
    <row r="3" spans="1:6" x14ac:dyDescent="0.15">
      <c r="A3" s="53" t="s">
        <v>199</v>
      </c>
      <c r="B3" s="141"/>
      <c r="C3" s="54"/>
      <c r="D3" s="55" t="s">
        <v>412</v>
      </c>
      <c r="E3" s="55" t="s">
        <v>413</v>
      </c>
      <c r="F3" s="51">
        <v>10</v>
      </c>
    </row>
    <row r="4" spans="1:6" x14ac:dyDescent="0.15">
      <c r="A4" s="36"/>
      <c r="C4" s="56"/>
      <c r="D4" s="15"/>
      <c r="E4">
        <f t="shared" ref="E4:E67" si="0">D4*F3%+D4</f>
        <v>0</v>
      </c>
      <c r="F4" s="51">
        <v>10</v>
      </c>
    </row>
    <row r="5" spans="1:6" x14ac:dyDescent="0.15">
      <c r="C5" s="57"/>
      <c r="D5" s="15"/>
      <c r="E5">
        <f t="shared" si="0"/>
        <v>0</v>
      </c>
      <c r="F5" s="51">
        <v>10</v>
      </c>
    </row>
    <row r="6" spans="1:6" x14ac:dyDescent="0.15">
      <c r="C6" s="57"/>
      <c r="D6" s="49"/>
      <c r="E6">
        <f t="shared" si="0"/>
        <v>0</v>
      </c>
      <c r="F6" s="51">
        <v>10</v>
      </c>
    </row>
    <row r="7" spans="1:6" x14ac:dyDescent="0.15">
      <c r="C7" s="57"/>
      <c r="D7" s="49"/>
      <c r="E7">
        <f t="shared" si="0"/>
        <v>0</v>
      </c>
      <c r="F7" s="51">
        <v>10</v>
      </c>
    </row>
    <row r="8" spans="1:6" x14ac:dyDescent="0.15">
      <c r="C8" s="57"/>
      <c r="D8" s="49"/>
      <c r="E8">
        <f t="shared" si="0"/>
        <v>0</v>
      </c>
      <c r="F8" s="51">
        <v>10</v>
      </c>
    </row>
    <row r="9" spans="1:6" x14ac:dyDescent="0.15">
      <c r="C9" s="57"/>
      <c r="D9" s="49"/>
      <c r="E9">
        <f t="shared" si="0"/>
        <v>0</v>
      </c>
      <c r="F9" s="51">
        <v>10</v>
      </c>
    </row>
    <row r="10" spans="1:6" x14ac:dyDescent="0.15">
      <c r="C10" s="57"/>
      <c r="D10" s="49"/>
      <c r="E10">
        <f t="shared" si="0"/>
        <v>0</v>
      </c>
      <c r="F10" s="51">
        <v>10</v>
      </c>
    </row>
    <row r="11" spans="1:6" x14ac:dyDescent="0.15">
      <c r="C11" s="57"/>
      <c r="D11" s="49"/>
      <c r="E11">
        <f t="shared" si="0"/>
        <v>0</v>
      </c>
      <c r="F11" s="51">
        <v>10</v>
      </c>
    </row>
    <row r="12" spans="1:6" x14ac:dyDescent="0.15">
      <c r="C12" s="57"/>
      <c r="D12" s="49"/>
      <c r="E12">
        <f t="shared" si="0"/>
        <v>0</v>
      </c>
      <c r="F12" s="51">
        <v>10</v>
      </c>
    </row>
    <row r="13" spans="1:6" x14ac:dyDescent="0.15">
      <c r="C13" s="57"/>
      <c r="D13" s="49"/>
      <c r="E13">
        <f t="shared" si="0"/>
        <v>0</v>
      </c>
      <c r="F13" s="51">
        <v>10</v>
      </c>
    </row>
    <row r="14" spans="1:6" x14ac:dyDescent="0.15">
      <c r="C14" s="57"/>
      <c r="D14" s="49"/>
      <c r="E14">
        <f t="shared" si="0"/>
        <v>0</v>
      </c>
      <c r="F14" s="51">
        <v>10</v>
      </c>
    </row>
    <row r="15" spans="1:6" x14ac:dyDescent="0.15">
      <c r="C15" s="57"/>
      <c r="D15" s="49"/>
      <c r="E15">
        <f t="shared" si="0"/>
        <v>0</v>
      </c>
      <c r="F15" s="51">
        <v>10</v>
      </c>
    </row>
    <row r="16" spans="1:6" x14ac:dyDescent="0.15">
      <c r="C16" s="57"/>
      <c r="D16" s="49"/>
      <c r="E16">
        <f t="shared" si="0"/>
        <v>0</v>
      </c>
      <c r="F16" s="51">
        <v>10</v>
      </c>
    </row>
    <row r="17" spans="3:6" x14ac:dyDescent="0.15">
      <c r="C17" s="57"/>
      <c r="D17" s="49"/>
      <c r="E17">
        <f t="shared" si="0"/>
        <v>0</v>
      </c>
      <c r="F17" s="51">
        <v>10</v>
      </c>
    </row>
    <row r="18" spans="3:6" x14ac:dyDescent="0.15">
      <c r="C18" s="57"/>
      <c r="D18" s="49"/>
      <c r="E18">
        <f t="shared" si="0"/>
        <v>0</v>
      </c>
      <c r="F18" s="51">
        <v>10</v>
      </c>
    </row>
    <row r="19" spans="3:6" x14ac:dyDescent="0.15">
      <c r="C19" s="57"/>
      <c r="D19" s="49"/>
      <c r="E19">
        <f t="shared" si="0"/>
        <v>0</v>
      </c>
      <c r="F19" s="51">
        <v>10</v>
      </c>
    </row>
    <row r="20" spans="3:6" x14ac:dyDescent="0.15">
      <c r="C20" s="57"/>
      <c r="D20" s="49"/>
      <c r="E20">
        <f t="shared" si="0"/>
        <v>0</v>
      </c>
      <c r="F20" s="51">
        <v>10</v>
      </c>
    </row>
    <row r="21" spans="3:6" x14ac:dyDescent="0.15">
      <c r="C21" s="57"/>
      <c r="D21" s="49"/>
      <c r="E21">
        <f t="shared" si="0"/>
        <v>0</v>
      </c>
      <c r="F21" s="51">
        <v>10</v>
      </c>
    </row>
    <row r="22" spans="3:6" x14ac:dyDescent="0.15">
      <c r="C22" s="57"/>
      <c r="D22" s="49"/>
      <c r="E22">
        <f t="shared" si="0"/>
        <v>0</v>
      </c>
      <c r="F22" s="51">
        <v>10</v>
      </c>
    </row>
    <row r="23" spans="3:6" x14ac:dyDescent="0.15">
      <c r="C23" s="57"/>
      <c r="D23" s="49"/>
      <c r="E23">
        <f t="shared" si="0"/>
        <v>0</v>
      </c>
      <c r="F23" s="51">
        <v>10</v>
      </c>
    </row>
    <row r="24" spans="3:6" x14ac:dyDescent="0.15">
      <c r="C24" s="57"/>
      <c r="D24" s="49"/>
      <c r="E24">
        <f t="shared" si="0"/>
        <v>0</v>
      </c>
      <c r="F24" s="51">
        <v>10</v>
      </c>
    </row>
    <row r="25" spans="3:6" x14ac:dyDescent="0.15">
      <c r="C25" s="57"/>
      <c r="D25" s="49"/>
      <c r="E25">
        <f t="shared" si="0"/>
        <v>0</v>
      </c>
      <c r="F25" s="51">
        <v>10</v>
      </c>
    </row>
    <row r="26" spans="3:6" x14ac:dyDescent="0.15">
      <c r="C26" s="57"/>
      <c r="D26" s="49"/>
      <c r="E26">
        <f t="shared" si="0"/>
        <v>0</v>
      </c>
      <c r="F26" s="51">
        <v>10</v>
      </c>
    </row>
    <row r="27" spans="3:6" x14ac:dyDescent="0.15">
      <c r="C27" s="57"/>
      <c r="D27" s="49"/>
      <c r="E27">
        <f t="shared" si="0"/>
        <v>0</v>
      </c>
      <c r="F27" s="51">
        <v>10</v>
      </c>
    </row>
    <row r="28" spans="3:6" x14ac:dyDescent="0.15">
      <c r="C28" s="57"/>
      <c r="D28" s="49"/>
      <c r="E28">
        <f t="shared" si="0"/>
        <v>0</v>
      </c>
      <c r="F28" s="51">
        <v>10</v>
      </c>
    </row>
    <row r="29" spans="3:6" x14ac:dyDescent="0.15">
      <c r="C29" s="57"/>
      <c r="D29" s="49"/>
      <c r="E29">
        <f t="shared" si="0"/>
        <v>0</v>
      </c>
      <c r="F29" s="51">
        <v>10</v>
      </c>
    </row>
    <row r="30" spans="3:6" x14ac:dyDescent="0.15">
      <c r="C30" s="57"/>
      <c r="D30" s="49"/>
      <c r="E30">
        <f t="shared" si="0"/>
        <v>0</v>
      </c>
      <c r="F30" s="51">
        <v>10</v>
      </c>
    </row>
    <row r="31" spans="3:6" x14ac:dyDescent="0.15">
      <c r="C31" s="57"/>
      <c r="D31" s="49"/>
      <c r="E31">
        <f t="shared" si="0"/>
        <v>0</v>
      </c>
      <c r="F31" s="51">
        <v>10</v>
      </c>
    </row>
    <row r="32" spans="3:6" x14ac:dyDescent="0.15">
      <c r="C32" s="57"/>
      <c r="D32" s="49"/>
      <c r="E32">
        <f t="shared" si="0"/>
        <v>0</v>
      </c>
      <c r="F32" s="51">
        <v>10</v>
      </c>
    </row>
    <row r="33" spans="3:6" x14ac:dyDescent="0.15">
      <c r="C33" s="57"/>
      <c r="D33" s="49"/>
      <c r="E33">
        <f t="shared" si="0"/>
        <v>0</v>
      </c>
      <c r="F33" s="51">
        <v>10</v>
      </c>
    </row>
    <row r="34" spans="3:6" x14ac:dyDescent="0.15">
      <c r="C34" s="57"/>
      <c r="D34" s="49"/>
      <c r="E34">
        <f t="shared" si="0"/>
        <v>0</v>
      </c>
      <c r="F34" s="51">
        <v>10</v>
      </c>
    </row>
    <row r="35" spans="3:6" x14ac:dyDescent="0.15">
      <c r="C35" s="57"/>
      <c r="D35" s="49"/>
      <c r="E35">
        <f t="shared" si="0"/>
        <v>0</v>
      </c>
      <c r="F35" s="51">
        <v>10</v>
      </c>
    </row>
    <row r="36" spans="3:6" x14ac:dyDescent="0.15">
      <c r="C36" s="57"/>
      <c r="D36" s="49"/>
      <c r="E36">
        <f t="shared" si="0"/>
        <v>0</v>
      </c>
      <c r="F36" s="51">
        <v>10</v>
      </c>
    </row>
    <row r="37" spans="3:6" x14ac:dyDescent="0.15">
      <c r="C37" s="57"/>
      <c r="D37" s="49"/>
      <c r="E37">
        <f t="shared" si="0"/>
        <v>0</v>
      </c>
      <c r="F37" s="51">
        <v>10</v>
      </c>
    </row>
    <row r="38" spans="3:6" x14ac:dyDescent="0.15">
      <c r="C38" s="57"/>
      <c r="D38" s="49"/>
      <c r="E38">
        <f t="shared" si="0"/>
        <v>0</v>
      </c>
      <c r="F38" s="51">
        <v>10</v>
      </c>
    </row>
    <row r="39" spans="3:6" x14ac:dyDescent="0.15">
      <c r="C39" s="57"/>
      <c r="D39" s="49"/>
      <c r="E39">
        <f t="shared" si="0"/>
        <v>0</v>
      </c>
      <c r="F39" s="51">
        <v>10</v>
      </c>
    </row>
    <row r="40" spans="3:6" x14ac:dyDescent="0.15">
      <c r="C40" s="57"/>
      <c r="D40" s="49"/>
      <c r="E40">
        <f t="shared" si="0"/>
        <v>0</v>
      </c>
      <c r="F40" s="51">
        <v>10</v>
      </c>
    </row>
    <row r="41" spans="3:6" x14ac:dyDescent="0.15">
      <c r="C41" s="57"/>
      <c r="D41" s="49"/>
      <c r="E41">
        <f t="shared" si="0"/>
        <v>0</v>
      </c>
      <c r="F41" s="51">
        <v>10</v>
      </c>
    </row>
    <row r="42" spans="3:6" x14ac:dyDescent="0.15">
      <c r="D42" s="49"/>
      <c r="E42">
        <f t="shared" si="0"/>
        <v>0</v>
      </c>
      <c r="F42" s="51">
        <v>10</v>
      </c>
    </row>
    <row r="43" spans="3:6" x14ac:dyDescent="0.15">
      <c r="D43" s="49"/>
      <c r="E43">
        <f t="shared" si="0"/>
        <v>0</v>
      </c>
      <c r="F43" s="51">
        <v>10</v>
      </c>
    </row>
    <row r="44" spans="3:6" x14ac:dyDescent="0.15">
      <c r="D44" s="49"/>
      <c r="E44">
        <f t="shared" si="0"/>
        <v>0</v>
      </c>
      <c r="F44" s="51">
        <v>10</v>
      </c>
    </row>
    <row r="45" spans="3:6" x14ac:dyDescent="0.15">
      <c r="D45" s="49"/>
      <c r="E45">
        <f t="shared" si="0"/>
        <v>0</v>
      </c>
      <c r="F45" s="51">
        <v>10</v>
      </c>
    </row>
    <row r="46" spans="3:6" x14ac:dyDescent="0.15">
      <c r="D46" s="49"/>
      <c r="E46">
        <f t="shared" si="0"/>
        <v>0</v>
      </c>
      <c r="F46" s="51">
        <v>10</v>
      </c>
    </row>
    <row r="47" spans="3:6" x14ac:dyDescent="0.15">
      <c r="D47" s="49"/>
      <c r="E47">
        <f t="shared" si="0"/>
        <v>0</v>
      </c>
      <c r="F47" s="51">
        <v>10</v>
      </c>
    </row>
    <row r="48" spans="3:6" x14ac:dyDescent="0.15">
      <c r="D48" s="49"/>
      <c r="E48">
        <f t="shared" si="0"/>
        <v>0</v>
      </c>
      <c r="F48" s="51">
        <v>10</v>
      </c>
    </row>
    <row r="49" spans="4:6" x14ac:dyDescent="0.15">
      <c r="D49" s="49"/>
      <c r="E49">
        <f t="shared" si="0"/>
        <v>0</v>
      </c>
      <c r="F49" s="51">
        <v>10</v>
      </c>
    </row>
    <row r="50" spans="4:6" x14ac:dyDescent="0.15">
      <c r="D50" s="49"/>
      <c r="E50">
        <f t="shared" si="0"/>
        <v>0</v>
      </c>
      <c r="F50" s="51">
        <v>10</v>
      </c>
    </row>
    <row r="51" spans="4:6" x14ac:dyDescent="0.15">
      <c r="D51" s="49"/>
      <c r="E51">
        <f t="shared" si="0"/>
        <v>0</v>
      </c>
      <c r="F51" s="51">
        <v>10</v>
      </c>
    </row>
    <row r="52" spans="4:6" x14ac:dyDescent="0.15">
      <c r="D52" s="49"/>
      <c r="E52">
        <f t="shared" si="0"/>
        <v>0</v>
      </c>
      <c r="F52" s="51">
        <v>10</v>
      </c>
    </row>
    <row r="53" spans="4:6" x14ac:dyDescent="0.15">
      <c r="D53" s="49"/>
      <c r="E53">
        <f t="shared" si="0"/>
        <v>0</v>
      </c>
      <c r="F53" s="51">
        <v>10</v>
      </c>
    </row>
    <row r="54" spans="4:6" x14ac:dyDescent="0.15">
      <c r="D54" s="49"/>
      <c r="E54">
        <f t="shared" si="0"/>
        <v>0</v>
      </c>
      <c r="F54" s="51">
        <v>10</v>
      </c>
    </row>
    <row r="55" spans="4:6" x14ac:dyDescent="0.15">
      <c r="D55" s="49"/>
      <c r="E55">
        <f t="shared" si="0"/>
        <v>0</v>
      </c>
      <c r="F55" s="51">
        <v>10</v>
      </c>
    </row>
    <row r="56" spans="4:6" x14ac:dyDescent="0.15">
      <c r="D56" s="49"/>
      <c r="E56">
        <f t="shared" si="0"/>
        <v>0</v>
      </c>
      <c r="F56" s="51">
        <v>10</v>
      </c>
    </row>
    <row r="57" spans="4:6" x14ac:dyDescent="0.15">
      <c r="D57" s="49"/>
      <c r="E57">
        <f t="shared" si="0"/>
        <v>0</v>
      </c>
      <c r="F57" s="51">
        <v>10</v>
      </c>
    </row>
    <row r="58" spans="4:6" x14ac:dyDescent="0.15">
      <c r="D58" s="49"/>
      <c r="E58">
        <f t="shared" si="0"/>
        <v>0</v>
      </c>
      <c r="F58" s="51">
        <v>10</v>
      </c>
    </row>
    <row r="59" spans="4:6" x14ac:dyDescent="0.15">
      <c r="D59" s="49"/>
      <c r="E59">
        <f t="shared" si="0"/>
        <v>0</v>
      </c>
      <c r="F59" s="51">
        <v>10</v>
      </c>
    </row>
    <row r="60" spans="4:6" x14ac:dyDescent="0.15">
      <c r="D60" s="49"/>
      <c r="E60">
        <f t="shared" si="0"/>
        <v>0</v>
      </c>
      <c r="F60" s="51">
        <v>10</v>
      </c>
    </row>
    <row r="61" spans="4:6" x14ac:dyDescent="0.15">
      <c r="D61" s="49"/>
      <c r="E61">
        <f t="shared" si="0"/>
        <v>0</v>
      </c>
      <c r="F61" s="51">
        <v>10</v>
      </c>
    </row>
    <row r="62" spans="4:6" x14ac:dyDescent="0.15">
      <c r="D62" s="49"/>
      <c r="E62">
        <f t="shared" si="0"/>
        <v>0</v>
      </c>
      <c r="F62" s="51">
        <v>10</v>
      </c>
    </row>
    <row r="63" spans="4:6" x14ac:dyDescent="0.15">
      <c r="D63" s="49"/>
      <c r="E63">
        <f t="shared" si="0"/>
        <v>0</v>
      </c>
      <c r="F63" s="51">
        <v>10</v>
      </c>
    </row>
    <row r="64" spans="4:6" x14ac:dyDescent="0.15">
      <c r="D64" s="49"/>
      <c r="E64">
        <f t="shared" si="0"/>
        <v>0</v>
      </c>
      <c r="F64" s="51">
        <v>10</v>
      </c>
    </row>
    <row r="65" spans="4:6" x14ac:dyDescent="0.15">
      <c r="D65" s="49"/>
      <c r="E65">
        <f t="shared" si="0"/>
        <v>0</v>
      </c>
      <c r="F65" s="51">
        <v>10</v>
      </c>
    </row>
    <row r="66" spans="4:6" x14ac:dyDescent="0.15">
      <c r="D66" s="49"/>
      <c r="E66">
        <f t="shared" si="0"/>
        <v>0</v>
      </c>
      <c r="F66" s="51">
        <v>10</v>
      </c>
    </row>
    <row r="67" spans="4:6" x14ac:dyDescent="0.15">
      <c r="D67" s="49"/>
      <c r="E67">
        <f t="shared" si="0"/>
        <v>0</v>
      </c>
      <c r="F67" s="51">
        <v>10</v>
      </c>
    </row>
    <row r="68" spans="4:6" x14ac:dyDescent="0.15">
      <c r="D68" s="49"/>
      <c r="E68">
        <f t="shared" ref="E68:E131" si="1">D68*F67%+D68</f>
        <v>0</v>
      </c>
      <c r="F68" s="51">
        <v>10</v>
      </c>
    </row>
    <row r="69" spans="4:6" x14ac:dyDescent="0.15">
      <c r="D69" s="49"/>
      <c r="E69">
        <f t="shared" si="1"/>
        <v>0</v>
      </c>
      <c r="F69" s="51">
        <v>10</v>
      </c>
    </row>
    <row r="70" spans="4:6" x14ac:dyDescent="0.15">
      <c r="D70" s="49"/>
      <c r="E70">
        <f t="shared" si="1"/>
        <v>0</v>
      </c>
      <c r="F70" s="51">
        <v>10</v>
      </c>
    </row>
    <row r="71" spans="4:6" x14ac:dyDescent="0.15">
      <c r="D71" s="49"/>
      <c r="E71">
        <f t="shared" si="1"/>
        <v>0</v>
      </c>
      <c r="F71" s="51">
        <v>10</v>
      </c>
    </row>
    <row r="72" spans="4:6" x14ac:dyDescent="0.15">
      <c r="D72" s="49"/>
      <c r="E72">
        <f t="shared" si="1"/>
        <v>0</v>
      </c>
      <c r="F72" s="51">
        <v>10</v>
      </c>
    </row>
    <row r="73" spans="4:6" x14ac:dyDescent="0.15">
      <c r="D73" s="49"/>
      <c r="E73">
        <f t="shared" si="1"/>
        <v>0</v>
      </c>
      <c r="F73" s="51">
        <v>10</v>
      </c>
    </row>
    <row r="74" spans="4:6" x14ac:dyDescent="0.15">
      <c r="D74" s="49"/>
      <c r="E74">
        <f t="shared" si="1"/>
        <v>0</v>
      </c>
      <c r="F74" s="51">
        <v>10</v>
      </c>
    </row>
    <row r="75" spans="4:6" x14ac:dyDescent="0.15">
      <c r="D75" s="49"/>
      <c r="E75">
        <f t="shared" si="1"/>
        <v>0</v>
      </c>
      <c r="F75" s="51">
        <v>10</v>
      </c>
    </row>
    <row r="76" spans="4:6" x14ac:dyDescent="0.15">
      <c r="D76" s="49"/>
      <c r="E76">
        <f t="shared" si="1"/>
        <v>0</v>
      </c>
      <c r="F76" s="51">
        <v>10</v>
      </c>
    </row>
    <row r="77" spans="4:6" x14ac:dyDescent="0.15">
      <c r="D77" s="49"/>
      <c r="E77">
        <f t="shared" si="1"/>
        <v>0</v>
      </c>
      <c r="F77" s="51">
        <v>10</v>
      </c>
    </row>
    <row r="78" spans="4:6" x14ac:dyDescent="0.15">
      <c r="D78" s="49"/>
      <c r="E78">
        <f t="shared" si="1"/>
        <v>0</v>
      </c>
      <c r="F78" s="51">
        <v>10</v>
      </c>
    </row>
    <row r="79" spans="4:6" x14ac:dyDescent="0.15">
      <c r="D79" s="49"/>
      <c r="E79">
        <f t="shared" si="1"/>
        <v>0</v>
      </c>
      <c r="F79" s="51">
        <v>10</v>
      </c>
    </row>
    <row r="80" spans="4:6" x14ac:dyDescent="0.15">
      <c r="D80" s="49"/>
      <c r="E80">
        <f t="shared" si="1"/>
        <v>0</v>
      </c>
      <c r="F80" s="51">
        <v>10</v>
      </c>
    </row>
    <row r="81" spans="4:6" x14ac:dyDescent="0.15">
      <c r="D81" s="49"/>
      <c r="E81">
        <f t="shared" si="1"/>
        <v>0</v>
      </c>
      <c r="F81" s="51">
        <v>10</v>
      </c>
    </row>
    <row r="82" spans="4:6" x14ac:dyDescent="0.15">
      <c r="D82" s="49"/>
      <c r="E82">
        <f t="shared" si="1"/>
        <v>0</v>
      </c>
      <c r="F82" s="51">
        <v>10</v>
      </c>
    </row>
    <row r="83" spans="4:6" x14ac:dyDescent="0.15">
      <c r="D83" s="49"/>
      <c r="E83">
        <f t="shared" si="1"/>
        <v>0</v>
      </c>
      <c r="F83" s="51">
        <v>10</v>
      </c>
    </row>
    <row r="84" spans="4:6" x14ac:dyDescent="0.15">
      <c r="D84" s="49"/>
      <c r="E84">
        <f t="shared" si="1"/>
        <v>0</v>
      </c>
      <c r="F84" s="51">
        <v>10</v>
      </c>
    </row>
    <row r="85" spans="4:6" x14ac:dyDescent="0.15">
      <c r="D85" s="49"/>
      <c r="E85">
        <f t="shared" si="1"/>
        <v>0</v>
      </c>
      <c r="F85" s="51">
        <v>10</v>
      </c>
    </row>
    <row r="86" spans="4:6" x14ac:dyDescent="0.15">
      <c r="D86" s="49"/>
      <c r="E86">
        <f t="shared" si="1"/>
        <v>0</v>
      </c>
      <c r="F86" s="51">
        <v>10</v>
      </c>
    </row>
    <row r="87" spans="4:6" x14ac:dyDescent="0.15">
      <c r="D87" s="49"/>
      <c r="E87">
        <f t="shared" si="1"/>
        <v>0</v>
      </c>
      <c r="F87" s="51">
        <v>10</v>
      </c>
    </row>
    <row r="88" spans="4:6" x14ac:dyDescent="0.15">
      <c r="D88" s="49"/>
      <c r="E88">
        <f t="shared" si="1"/>
        <v>0</v>
      </c>
      <c r="F88" s="51">
        <v>10</v>
      </c>
    </row>
    <row r="89" spans="4:6" x14ac:dyDescent="0.15">
      <c r="D89" s="49"/>
      <c r="E89">
        <f t="shared" si="1"/>
        <v>0</v>
      </c>
      <c r="F89" s="51">
        <v>10</v>
      </c>
    </row>
    <row r="90" spans="4:6" x14ac:dyDescent="0.15">
      <c r="D90" s="49"/>
      <c r="E90">
        <f t="shared" si="1"/>
        <v>0</v>
      </c>
      <c r="F90" s="51">
        <v>10</v>
      </c>
    </row>
    <row r="91" spans="4:6" x14ac:dyDescent="0.15">
      <c r="D91" s="49"/>
      <c r="E91">
        <f t="shared" si="1"/>
        <v>0</v>
      </c>
      <c r="F91" s="51">
        <v>10</v>
      </c>
    </row>
    <row r="92" spans="4:6" x14ac:dyDescent="0.15">
      <c r="D92" s="49"/>
      <c r="E92">
        <f t="shared" si="1"/>
        <v>0</v>
      </c>
      <c r="F92" s="51">
        <v>10</v>
      </c>
    </row>
    <row r="93" spans="4:6" x14ac:dyDescent="0.15">
      <c r="D93" s="49"/>
      <c r="E93">
        <f t="shared" si="1"/>
        <v>0</v>
      </c>
      <c r="F93" s="51">
        <v>10</v>
      </c>
    </row>
    <row r="94" spans="4:6" x14ac:dyDescent="0.15">
      <c r="D94" s="49"/>
      <c r="E94">
        <f t="shared" si="1"/>
        <v>0</v>
      </c>
      <c r="F94" s="51">
        <v>10</v>
      </c>
    </row>
    <row r="95" spans="4:6" x14ac:dyDescent="0.15">
      <c r="D95" s="49"/>
      <c r="E95">
        <f t="shared" si="1"/>
        <v>0</v>
      </c>
      <c r="F95" s="51">
        <v>10</v>
      </c>
    </row>
    <row r="96" spans="4:6" x14ac:dyDescent="0.15">
      <c r="D96" s="49"/>
      <c r="E96">
        <f t="shared" si="1"/>
        <v>0</v>
      </c>
      <c r="F96" s="51">
        <v>10</v>
      </c>
    </row>
    <row r="97" spans="4:6" x14ac:dyDescent="0.15">
      <c r="D97" s="49"/>
      <c r="E97">
        <f t="shared" si="1"/>
        <v>0</v>
      </c>
      <c r="F97" s="51">
        <v>10</v>
      </c>
    </row>
    <row r="98" spans="4:6" x14ac:dyDescent="0.15">
      <c r="D98" s="49"/>
      <c r="E98">
        <f t="shared" si="1"/>
        <v>0</v>
      </c>
      <c r="F98" s="51">
        <v>10</v>
      </c>
    </row>
    <row r="99" spans="4:6" x14ac:dyDescent="0.15">
      <c r="D99" s="49"/>
      <c r="E99">
        <f t="shared" si="1"/>
        <v>0</v>
      </c>
      <c r="F99" s="51">
        <v>10</v>
      </c>
    </row>
    <row r="100" spans="4:6" x14ac:dyDescent="0.15">
      <c r="D100" s="49"/>
      <c r="E100">
        <f t="shared" si="1"/>
        <v>0</v>
      </c>
      <c r="F100" s="51">
        <v>10</v>
      </c>
    </row>
    <row r="101" spans="4:6" x14ac:dyDescent="0.15">
      <c r="D101" s="49"/>
      <c r="E101">
        <f t="shared" si="1"/>
        <v>0</v>
      </c>
      <c r="F101" s="51">
        <v>10</v>
      </c>
    </row>
    <row r="102" spans="4:6" x14ac:dyDescent="0.15">
      <c r="D102" s="49"/>
      <c r="E102">
        <f t="shared" si="1"/>
        <v>0</v>
      </c>
      <c r="F102" s="51">
        <v>10</v>
      </c>
    </row>
    <row r="103" spans="4:6" x14ac:dyDescent="0.15">
      <c r="D103" s="49"/>
      <c r="E103">
        <f t="shared" si="1"/>
        <v>0</v>
      </c>
      <c r="F103" s="51">
        <v>10</v>
      </c>
    </row>
    <row r="104" spans="4:6" x14ac:dyDescent="0.15">
      <c r="D104" s="49"/>
      <c r="E104">
        <f t="shared" si="1"/>
        <v>0</v>
      </c>
      <c r="F104" s="51">
        <v>10</v>
      </c>
    </row>
    <row r="105" spans="4:6" x14ac:dyDescent="0.15">
      <c r="D105" s="49"/>
      <c r="E105">
        <f t="shared" si="1"/>
        <v>0</v>
      </c>
      <c r="F105" s="51">
        <v>10</v>
      </c>
    </row>
    <row r="106" spans="4:6" x14ac:dyDescent="0.15">
      <c r="D106" s="49"/>
      <c r="E106">
        <f t="shared" si="1"/>
        <v>0</v>
      </c>
      <c r="F106" s="51">
        <v>10</v>
      </c>
    </row>
    <row r="107" spans="4:6" x14ac:dyDescent="0.15">
      <c r="D107" s="49"/>
      <c r="E107">
        <f t="shared" si="1"/>
        <v>0</v>
      </c>
      <c r="F107" s="51">
        <v>10</v>
      </c>
    </row>
    <row r="108" spans="4:6" x14ac:dyDescent="0.15">
      <c r="D108" s="49"/>
      <c r="E108">
        <f t="shared" si="1"/>
        <v>0</v>
      </c>
      <c r="F108" s="51">
        <v>10</v>
      </c>
    </row>
    <row r="109" spans="4:6" x14ac:dyDescent="0.15">
      <c r="D109" s="49"/>
      <c r="E109">
        <f t="shared" si="1"/>
        <v>0</v>
      </c>
      <c r="F109" s="51">
        <v>10</v>
      </c>
    </row>
    <row r="110" spans="4:6" x14ac:dyDescent="0.15">
      <c r="D110" s="49"/>
      <c r="E110">
        <f t="shared" si="1"/>
        <v>0</v>
      </c>
      <c r="F110" s="51">
        <v>10</v>
      </c>
    </row>
    <row r="111" spans="4:6" x14ac:dyDescent="0.15">
      <c r="D111" s="49"/>
      <c r="E111">
        <f t="shared" si="1"/>
        <v>0</v>
      </c>
      <c r="F111" s="51">
        <v>10</v>
      </c>
    </row>
    <row r="112" spans="4:6" x14ac:dyDescent="0.15">
      <c r="D112" s="49"/>
      <c r="E112">
        <f t="shared" si="1"/>
        <v>0</v>
      </c>
      <c r="F112" s="51">
        <v>10</v>
      </c>
    </row>
    <row r="113" spans="4:6" x14ac:dyDescent="0.15">
      <c r="D113" s="49"/>
      <c r="E113">
        <f t="shared" si="1"/>
        <v>0</v>
      </c>
      <c r="F113" s="51">
        <v>10</v>
      </c>
    </row>
    <row r="114" spans="4:6" x14ac:dyDescent="0.15">
      <c r="D114" s="49"/>
      <c r="E114">
        <f t="shared" si="1"/>
        <v>0</v>
      </c>
      <c r="F114" s="51">
        <v>10</v>
      </c>
    </row>
    <row r="115" spans="4:6" x14ac:dyDescent="0.15">
      <c r="D115" s="49"/>
      <c r="E115">
        <f t="shared" si="1"/>
        <v>0</v>
      </c>
      <c r="F115" s="51">
        <v>10</v>
      </c>
    </row>
    <row r="116" spans="4:6" x14ac:dyDescent="0.15">
      <c r="D116" s="49"/>
      <c r="E116">
        <f t="shared" si="1"/>
        <v>0</v>
      </c>
      <c r="F116" s="51">
        <v>10</v>
      </c>
    </row>
    <row r="117" spans="4:6" x14ac:dyDescent="0.15">
      <c r="D117" s="49"/>
      <c r="E117">
        <f t="shared" si="1"/>
        <v>0</v>
      </c>
      <c r="F117" s="51">
        <v>10</v>
      </c>
    </row>
    <row r="118" spans="4:6" x14ac:dyDescent="0.15">
      <c r="D118" s="49"/>
      <c r="E118">
        <f t="shared" si="1"/>
        <v>0</v>
      </c>
      <c r="F118" s="51">
        <v>10</v>
      </c>
    </row>
    <row r="119" spans="4:6" x14ac:dyDescent="0.15">
      <c r="D119" s="49"/>
      <c r="E119">
        <f t="shared" si="1"/>
        <v>0</v>
      </c>
      <c r="F119" s="51">
        <v>10</v>
      </c>
    </row>
    <row r="120" spans="4:6" x14ac:dyDescent="0.15">
      <c r="D120" s="49"/>
      <c r="E120">
        <f t="shared" si="1"/>
        <v>0</v>
      </c>
      <c r="F120" s="51">
        <v>10</v>
      </c>
    </row>
    <row r="121" spans="4:6" x14ac:dyDescent="0.15">
      <c r="D121" s="49"/>
      <c r="E121">
        <f t="shared" si="1"/>
        <v>0</v>
      </c>
      <c r="F121" s="51">
        <v>10</v>
      </c>
    </row>
    <row r="122" spans="4:6" x14ac:dyDescent="0.15">
      <c r="D122" s="49"/>
      <c r="E122">
        <f t="shared" si="1"/>
        <v>0</v>
      </c>
      <c r="F122" s="51">
        <v>10</v>
      </c>
    </row>
    <row r="123" spans="4:6" x14ac:dyDescent="0.15">
      <c r="D123" s="49"/>
      <c r="E123">
        <f t="shared" si="1"/>
        <v>0</v>
      </c>
      <c r="F123" s="51">
        <v>10</v>
      </c>
    </row>
    <row r="124" spans="4:6" x14ac:dyDescent="0.15">
      <c r="D124" s="49"/>
      <c r="E124">
        <f t="shared" si="1"/>
        <v>0</v>
      </c>
      <c r="F124" s="51">
        <v>10</v>
      </c>
    </row>
    <row r="125" spans="4:6" x14ac:dyDescent="0.15">
      <c r="D125" s="49"/>
      <c r="E125">
        <f t="shared" si="1"/>
        <v>0</v>
      </c>
      <c r="F125" s="51">
        <v>10</v>
      </c>
    </row>
    <row r="126" spans="4:6" x14ac:dyDescent="0.15">
      <c r="D126" s="49"/>
      <c r="E126">
        <f t="shared" si="1"/>
        <v>0</v>
      </c>
      <c r="F126" s="51">
        <v>10</v>
      </c>
    </row>
    <row r="127" spans="4:6" x14ac:dyDescent="0.15">
      <c r="D127" s="49"/>
      <c r="E127">
        <f t="shared" si="1"/>
        <v>0</v>
      </c>
      <c r="F127" s="51">
        <v>10</v>
      </c>
    </row>
    <row r="128" spans="4:6" x14ac:dyDescent="0.15">
      <c r="D128" s="49"/>
      <c r="E128">
        <f t="shared" si="1"/>
        <v>0</v>
      </c>
      <c r="F128" s="51">
        <v>10</v>
      </c>
    </row>
    <row r="129" spans="4:6" x14ac:dyDescent="0.15">
      <c r="D129" s="49"/>
      <c r="E129">
        <f t="shared" si="1"/>
        <v>0</v>
      </c>
      <c r="F129" s="51">
        <v>10</v>
      </c>
    </row>
    <row r="130" spans="4:6" x14ac:dyDescent="0.15">
      <c r="D130" s="49"/>
      <c r="E130">
        <f t="shared" si="1"/>
        <v>0</v>
      </c>
      <c r="F130" s="51">
        <v>10</v>
      </c>
    </row>
    <row r="131" spans="4:6" x14ac:dyDescent="0.15">
      <c r="D131" s="49"/>
      <c r="E131">
        <f t="shared" si="1"/>
        <v>0</v>
      </c>
      <c r="F131" s="51">
        <v>10</v>
      </c>
    </row>
    <row r="132" spans="4:6" x14ac:dyDescent="0.15">
      <c r="D132" s="49"/>
      <c r="E132">
        <f t="shared" ref="E132:E195" si="2">D132*F131%+D132</f>
        <v>0</v>
      </c>
      <c r="F132" s="51">
        <v>10</v>
      </c>
    </row>
    <row r="133" spans="4:6" x14ac:dyDescent="0.15">
      <c r="D133" s="49"/>
      <c r="E133">
        <f t="shared" si="2"/>
        <v>0</v>
      </c>
      <c r="F133" s="51">
        <v>10</v>
      </c>
    </row>
    <row r="134" spans="4:6" x14ac:dyDescent="0.15">
      <c r="D134" s="49"/>
      <c r="E134">
        <f t="shared" si="2"/>
        <v>0</v>
      </c>
      <c r="F134" s="51">
        <v>10</v>
      </c>
    </row>
    <row r="135" spans="4:6" x14ac:dyDescent="0.15">
      <c r="D135" s="49"/>
      <c r="E135">
        <f t="shared" si="2"/>
        <v>0</v>
      </c>
      <c r="F135" s="51">
        <v>10</v>
      </c>
    </row>
    <row r="136" spans="4:6" x14ac:dyDescent="0.15">
      <c r="D136" s="49"/>
      <c r="E136">
        <f t="shared" si="2"/>
        <v>0</v>
      </c>
      <c r="F136" s="51">
        <v>10</v>
      </c>
    </row>
    <row r="137" spans="4:6" x14ac:dyDescent="0.15">
      <c r="D137" s="49"/>
      <c r="E137">
        <f t="shared" si="2"/>
        <v>0</v>
      </c>
      <c r="F137" s="51">
        <v>10</v>
      </c>
    </row>
    <row r="138" spans="4:6" x14ac:dyDescent="0.15">
      <c r="D138" s="49"/>
      <c r="E138">
        <f t="shared" si="2"/>
        <v>0</v>
      </c>
      <c r="F138" s="51">
        <v>10</v>
      </c>
    </row>
    <row r="139" spans="4:6" x14ac:dyDescent="0.15">
      <c r="D139" s="49"/>
      <c r="E139">
        <f t="shared" si="2"/>
        <v>0</v>
      </c>
      <c r="F139" s="51">
        <v>10</v>
      </c>
    </row>
    <row r="140" spans="4:6" x14ac:dyDescent="0.15">
      <c r="D140" s="49"/>
      <c r="E140">
        <f t="shared" si="2"/>
        <v>0</v>
      </c>
      <c r="F140" s="51">
        <v>10</v>
      </c>
    </row>
    <row r="141" spans="4:6" x14ac:dyDescent="0.15">
      <c r="D141" s="49"/>
      <c r="E141">
        <f t="shared" si="2"/>
        <v>0</v>
      </c>
      <c r="F141" s="51">
        <v>10</v>
      </c>
    </row>
    <row r="142" spans="4:6" x14ac:dyDescent="0.15">
      <c r="D142" s="49"/>
      <c r="E142">
        <f t="shared" si="2"/>
        <v>0</v>
      </c>
      <c r="F142" s="51">
        <v>10</v>
      </c>
    </row>
    <row r="143" spans="4:6" x14ac:dyDescent="0.15">
      <c r="D143" s="49"/>
      <c r="E143">
        <f t="shared" si="2"/>
        <v>0</v>
      </c>
      <c r="F143" s="51">
        <v>10</v>
      </c>
    </row>
    <row r="144" spans="4:6" x14ac:dyDescent="0.15">
      <c r="D144" s="49"/>
      <c r="E144">
        <f t="shared" si="2"/>
        <v>0</v>
      </c>
      <c r="F144" s="51">
        <v>10</v>
      </c>
    </row>
    <row r="145" spans="4:6" x14ac:dyDescent="0.15">
      <c r="D145" s="49"/>
      <c r="E145">
        <f t="shared" si="2"/>
        <v>0</v>
      </c>
      <c r="F145" s="51">
        <v>10</v>
      </c>
    </row>
    <row r="146" spans="4:6" x14ac:dyDescent="0.15">
      <c r="D146" s="49"/>
      <c r="E146">
        <f t="shared" si="2"/>
        <v>0</v>
      </c>
      <c r="F146" s="51">
        <v>10</v>
      </c>
    </row>
    <row r="147" spans="4:6" x14ac:dyDescent="0.15">
      <c r="D147" s="49"/>
      <c r="E147">
        <f t="shared" si="2"/>
        <v>0</v>
      </c>
      <c r="F147" s="51">
        <v>10</v>
      </c>
    </row>
    <row r="148" spans="4:6" x14ac:dyDescent="0.15">
      <c r="D148" s="49"/>
      <c r="E148">
        <f t="shared" si="2"/>
        <v>0</v>
      </c>
      <c r="F148" s="51">
        <v>10</v>
      </c>
    </row>
    <row r="149" spans="4:6" x14ac:dyDescent="0.15">
      <c r="D149" s="49"/>
      <c r="E149">
        <f t="shared" si="2"/>
        <v>0</v>
      </c>
      <c r="F149" s="51">
        <v>10</v>
      </c>
    </row>
    <row r="150" spans="4:6" x14ac:dyDescent="0.15">
      <c r="D150" s="49"/>
      <c r="E150">
        <f t="shared" si="2"/>
        <v>0</v>
      </c>
      <c r="F150" s="51">
        <v>10</v>
      </c>
    </row>
    <row r="151" spans="4:6" x14ac:dyDescent="0.15">
      <c r="D151" s="49"/>
      <c r="E151">
        <f t="shared" si="2"/>
        <v>0</v>
      </c>
      <c r="F151" s="51">
        <v>10</v>
      </c>
    </row>
    <row r="152" spans="4:6" x14ac:dyDescent="0.15">
      <c r="D152" s="49"/>
      <c r="E152">
        <f t="shared" si="2"/>
        <v>0</v>
      </c>
      <c r="F152" s="51">
        <v>10</v>
      </c>
    </row>
    <row r="153" spans="4:6" x14ac:dyDescent="0.15">
      <c r="D153" s="49"/>
      <c r="E153">
        <f t="shared" si="2"/>
        <v>0</v>
      </c>
      <c r="F153" s="51">
        <v>10</v>
      </c>
    </row>
    <row r="154" spans="4:6" x14ac:dyDescent="0.15">
      <c r="D154" s="49"/>
      <c r="E154">
        <f t="shared" si="2"/>
        <v>0</v>
      </c>
      <c r="F154" s="51">
        <v>10</v>
      </c>
    </row>
    <row r="155" spans="4:6" x14ac:dyDescent="0.15">
      <c r="D155" s="49"/>
      <c r="E155">
        <f t="shared" si="2"/>
        <v>0</v>
      </c>
      <c r="F155" s="51">
        <v>10</v>
      </c>
    </row>
    <row r="156" spans="4:6" x14ac:dyDescent="0.15">
      <c r="D156" s="49"/>
      <c r="E156">
        <f t="shared" si="2"/>
        <v>0</v>
      </c>
      <c r="F156" s="51">
        <v>10</v>
      </c>
    </row>
    <row r="157" spans="4:6" x14ac:dyDescent="0.15">
      <c r="D157" s="49"/>
      <c r="E157">
        <f t="shared" si="2"/>
        <v>0</v>
      </c>
      <c r="F157" s="51">
        <v>10</v>
      </c>
    </row>
    <row r="158" spans="4:6" x14ac:dyDescent="0.15">
      <c r="D158" s="49"/>
      <c r="E158">
        <f t="shared" si="2"/>
        <v>0</v>
      </c>
      <c r="F158" s="51">
        <v>10</v>
      </c>
    </row>
    <row r="159" spans="4:6" x14ac:dyDescent="0.15">
      <c r="D159" s="49"/>
      <c r="E159">
        <f t="shared" si="2"/>
        <v>0</v>
      </c>
      <c r="F159" s="51">
        <v>10</v>
      </c>
    </row>
    <row r="160" spans="4:6" x14ac:dyDescent="0.15">
      <c r="D160" s="49"/>
      <c r="E160">
        <f t="shared" si="2"/>
        <v>0</v>
      </c>
      <c r="F160" s="51">
        <v>10</v>
      </c>
    </row>
    <row r="161" spans="4:6" x14ac:dyDescent="0.15">
      <c r="D161" s="49"/>
      <c r="E161">
        <f t="shared" si="2"/>
        <v>0</v>
      </c>
      <c r="F161" s="51">
        <v>10</v>
      </c>
    </row>
    <row r="162" spans="4:6" x14ac:dyDescent="0.15">
      <c r="E162">
        <f t="shared" si="2"/>
        <v>0</v>
      </c>
      <c r="F162" s="51">
        <v>10</v>
      </c>
    </row>
    <row r="163" spans="4:6" x14ac:dyDescent="0.15">
      <c r="E163">
        <f t="shared" si="2"/>
        <v>0</v>
      </c>
      <c r="F163" s="51">
        <v>10</v>
      </c>
    </row>
    <row r="164" spans="4:6" x14ac:dyDescent="0.15">
      <c r="E164">
        <f t="shared" si="2"/>
        <v>0</v>
      </c>
      <c r="F164" s="51">
        <v>10</v>
      </c>
    </row>
    <row r="165" spans="4:6" x14ac:dyDescent="0.15">
      <c r="E165">
        <f t="shared" si="2"/>
        <v>0</v>
      </c>
      <c r="F165" s="51">
        <v>10</v>
      </c>
    </row>
    <row r="166" spans="4:6" x14ac:dyDescent="0.15">
      <c r="E166">
        <f t="shared" si="2"/>
        <v>0</v>
      </c>
      <c r="F166" s="51">
        <v>10</v>
      </c>
    </row>
    <row r="167" spans="4:6" x14ac:dyDescent="0.15">
      <c r="E167">
        <f t="shared" si="2"/>
        <v>0</v>
      </c>
      <c r="F167" s="51">
        <v>10</v>
      </c>
    </row>
    <row r="168" spans="4:6" x14ac:dyDescent="0.15">
      <c r="E168">
        <f t="shared" si="2"/>
        <v>0</v>
      </c>
      <c r="F168" s="51">
        <v>10</v>
      </c>
    </row>
    <row r="169" spans="4:6" x14ac:dyDescent="0.15">
      <c r="E169">
        <f t="shared" si="2"/>
        <v>0</v>
      </c>
      <c r="F169" s="51">
        <v>10</v>
      </c>
    </row>
    <row r="170" spans="4:6" x14ac:dyDescent="0.15">
      <c r="E170">
        <f t="shared" si="2"/>
        <v>0</v>
      </c>
      <c r="F170" s="51">
        <v>10</v>
      </c>
    </row>
    <row r="171" spans="4:6" x14ac:dyDescent="0.15">
      <c r="E171">
        <f t="shared" si="2"/>
        <v>0</v>
      </c>
      <c r="F171" s="51">
        <v>10</v>
      </c>
    </row>
    <row r="172" spans="4:6" x14ac:dyDescent="0.15">
      <c r="E172">
        <f t="shared" si="2"/>
        <v>0</v>
      </c>
      <c r="F172" s="51">
        <v>10</v>
      </c>
    </row>
    <row r="173" spans="4:6" x14ac:dyDescent="0.15">
      <c r="E173">
        <f t="shared" si="2"/>
        <v>0</v>
      </c>
      <c r="F173" s="51">
        <v>10</v>
      </c>
    </row>
    <row r="174" spans="4:6" x14ac:dyDescent="0.15">
      <c r="E174">
        <f t="shared" si="2"/>
        <v>0</v>
      </c>
      <c r="F174" s="51">
        <v>10</v>
      </c>
    </row>
    <row r="175" spans="4:6" x14ac:dyDescent="0.15">
      <c r="E175">
        <f t="shared" si="2"/>
        <v>0</v>
      </c>
      <c r="F175" s="51">
        <v>10</v>
      </c>
    </row>
    <row r="176" spans="4:6" x14ac:dyDescent="0.15">
      <c r="E176">
        <f t="shared" si="2"/>
        <v>0</v>
      </c>
      <c r="F176" s="51">
        <v>10</v>
      </c>
    </row>
    <row r="177" spans="5:6" x14ac:dyDescent="0.15">
      <c r="E177">
        <f t="shared" si="2"/>
        <v>0</v>
      </c>
      <c r="F177" s="51">
        <v>10</v>
      </c>
    </row>
    <row r="178" spans="5:6" x14ac:dyDescent="0.15">
      <c r="E178">
        <f t="shared" si="2"/>
        <v>0</v>
      </c>
      <c r="F178" s="51">
        <v>10</v>
      </c>
    </row>
    <row r="179" spans="5:6" x14ac:dyDescent="0.15">
      <c r="E179">
        <f t="shared" si="2"/>
        <v>0</v>
      </c>
      <c r="F179" s="51">
        <v>10</v>
      </c>
    </row>
    <row r="180" spans="5:6" x14ac:dyDescent="0.15">
      <c r="E180">
        <f t="shared" si="2"/>
        <v>0</v>
      </c>
      <c r="F180" s="51">
        <v>10</v>
      </c>
    </row>
    <row r="181" spans="5:6" x14ac:dyDescent="0.15">
      <c r="E181">
        <f t="shared" si="2"/>
        <v>0</v>
      </c>
      <c r="F181" s="51">
        <v>10</v>
      </c>
    </row>
    <row r="182" spans="5:6" x14ac:dyDescent="0.15">
      <c r="E182">
        <f t="shared" si="2"/>
        <v>0</v>
      </c>
      <c r="F182" s="51">
        <v>10</v>
      </c>
    </row>
    <row r="183" spans="5:6" x14ac:dyDescent="0.15">
      <c r="E183">
        <f t="shared" si="2"/>
        <v>0</v>
      </c>
      <c r="F183" s="51">
        <v>10</v>
      </c>
    </row>
    <row r="184" spans="5:6" x14ac:dyDescent="0.15">
      <c r="E184">
        <f t="shared" si="2"/>
        <v>0</v>
      </c>
      <c r="F184" s="51">
        <v>10</v>
      </c>
    </row>
    <row r="185" spans="5:6" x14ac:dyDescent="0.15">
      <c r="E185">
        <f t="shared" si="2"/>
        <v>0</v>
      </c>
      <c r="F185" s="51">
        <v>10</v>
      </c>
    </row>
    <row r="186" spans="5:6" x14ac:dyDescent="0.15">
      <c r="E186">
        <f t="shared" si="2"/>
        <v>0</v>
      </c>
      <c r="F186" s="51">
        <v>10</v>
      </c>
    </row>
    <row r="187" spans="5:6" x14ac:dyDescent="0.15">
      <c r="E187">
        <f t="shared" si="2"/>
        <v>0</v>
      </c>
      <c r="F187" s="51">
        <v>10</v>
      </c>
    </row>
    <row r="188" spans="5:6" x14ac:dyDescent="0.15">
      <c r="E188">
        <f t="shared" si="2"/>
        <v>0</v>
      </c>
      <c r="F188" s="51">
        <v>10</v>
      </c>
    </row>
    <row r="189" spans="5:6" x14ac:dyDescent="0.15">
      <c r="E189">
        <f t="shared" si="2"/>
        <v>0</v>
      </c>
      <c r="F189" s="51">
        <v>10</v>
      </c>
    </row>
    <row r="190" spans="5:6" x14ac:dyDescent="0.15">
      <c r="E190">
        <f t="shared" si="2"/>
        <v>0</v>
      </c>
      <c r="F190" s="51">
        <v>10</v>
      </c>
    </row>
    <row r="191" spans="5:6" x14ac:dyDescent="0.15">
      <c r="E191">
        <f t="shared" si="2"/>
        <v>0</v>
      </c>
      <c r="F191" s="51">
        <v>10</v>
      </c>
    </row>
    <row r="192" spans="5:6" x14ac:dyDescent="0.15">
      <c r="E192">
        <f t="shared" si="2"/>
        <v>0</v>
      </c>
      <c r="F192" s="51">
        <v>10</v>
      </c>
    </row>
    <row r="193" spans="5:6" x14ac:dyDescent="0.15">
      <c r="E193">
        <f t="shared" si="2"/>
        <v>0</v>
      </c>
      <c r="F193" s="51">
        <v>10</v>
      </c>
    </row>
    <row r="194" spans="5:6" x14ac:dyDescent="0.15">
      <c r="E194">
        <f t="shared" si="2"/>
        <v>0</v>
      </c>
      <c r="F194" s="51">
        <v>10</v>
      </c>
    </row>
    <row r="195" spans="5:6" x14ac:dyDescent="0.15">
      <c r="E195">
        <f t="shared" si="2"/>
        <v>0</v>
      </c>
      <c r="F195" s="51">
        <v>10</v>
      </c>
    </row>
    <row r="196" spans="5:6" x14ac:dyDescent="0.15">
      <c r="E196">
        <f t="shared" ref="E196:E259" si="3">D196*F195%+D196</f>
        <v>0</v>
      </c>
      <c r="F196" s="51">
        <v>10</v>
      </c>
    </row>
    <row r="197" spans="5:6" x14ac:dyDescent="0.15">
      <c r="E197">
        <f t="shared" si="3"/>
        <v>0</v>
      </c>
      <c r="F197" s="51">
        <v>10</v>
      </c>
    </row>
    <row r="198" spans="5:6" x14ac:dyDescent="0.15">
      <c r="E198">
        <f t="shared" si="3"/>
        <v>0</v>
      </c>
      <c r="F198" s="51">
        <v>10</v>
      </c>
    </row>
    <row r="199" spans="5:6" x14ac:dyDescent="0.15">
      <c r="E199">
        <f t="shared" si="3"/>
        <v>0</v>
      </c>
      <c r="F199" s="51">
        <v>10</v>
      </c>
    </row>
    <row r="200" spans="5:6" x14ac:dyDescent="0.15">
      <c r="E200">
        <f t="shared" si="3"/>
        <v>0</v>
      </c>
      <c r="F200" s="51">
        <v>10</v>
      </c>
    </row>
    <row r="201" spans="5:6" x14ac:dyDescent="0.15">
      <c r="E201">
        <f t="shared" si="3"/>
        <v>0</v>
      </c>
      <c r="F201" s="51">
        <v>10</v>
      </c>
    </row>
    <row r="202" spans="5:6" x14ac:dyDescent="0.15">
      <c r="E202">
        <f t="shared" si="3"/>
        <v>0</v>
      </c>
      <c r="F202" s="51">
        <v>10</v>
      </c>
    </row>
    <row r="203" spans="5:6" x14ac:dyDescent="0.15">
      <c r="E203">
        <f t="shared" si="3"/>
        <v>0</v>
      </c>
      <c r="F203" s="51">
        <v>10</v>
      </c>
    </row>
    <row r="204" spans="5:6" x14ac:dyDescent="0.15">
      <c r="E204">
        <f t="shared" si="3"/>
        <v>0</v>
      </c>
      <c r="F204" s="51">
        <v>10</v>
      </c>
    </row>
    <row r="205" spans="5:6" x14ac:dyDescent="0.15">
      <c r="E205">
        <f t="shared" si="3"/>
        <v>0</v>
      </c>
      <c r="F205" s="51">
        <v>10</v>
      </c>
    </row>
    <row r="206" spans="5:6" x14ac:dyDescent="0.15">
      <c r="E206">
        <f t="shared" si="3"/>
        <v>0</v>
      </c>
      <c r="F206" s="51">
        <v>10</v>
      </c>
    </row>
    <row r="207" spans="5:6" x14ac:dyDescent="0.15">
      <c r="E207">
        <f t="shared" si="3"/>
        <v>0</v>
      </c>
      <c r="F207" s="51">
        <v>10</v>
      </c>
    </row>
    <row r="208" spans="5:6" x14ac:dyDescent="0.15">
      <c r="E208">
        <f t="shared" si="3"/>
        <v>0</v>
      </c>
      <c r="F208" s="51">
        <v>10</v>
      </c>
    </row>
    <row r="209" spans="5:6" x14ac:dyDescent="0.15">
      <c r="E209">
        <f t="shared" si="3"/>
        <v>0</v>
      </c>
      <c r="F209" s="51">
        <v>10</v>
      </c>
    </row>
    <row r="210" spans="5:6" x14ac:dyDescent="0.15">
      <c r="E210">
        <f t="shared" si="3"/>
        <v>0</v>
      </c>
      <c r="F210" s="51">
        <v>10</v>
      </c>
    </row>
    <row r="211" spans="5:6" x14ac:dyDescent="0.15">
      <c r="E211">
        <f t="shared" si="3"/>
        <v>0</v>
      </c>
      <c r="F211" s="51">
        <v>10</v>
      </c>
    </row>
    <row r="212" spans="5:6" x14ac:dyDescent="0.15">
      <c r="E212">
        <f t="shared" si="3"/>
        <v>0</v>
      </c>
      <c r="F212" s="51">
        <v>10</v>
      </c>
    </row>
    <row r="213" spans="5:6" x14ac:dyDescent="0.15">
      <c r="E213">
        <f t="shared" si="3"/>
        <v>0</v>
      </c>
      <c r="F213" s="51">
        <v>10</v>
      </c>
    </row>
    <row r="214" spans="5:6" x14ac:dyDescent="0.15">
      <c r="E214">
        <f t="shared" si="3"/>
        <v>0</v>
      </c>
      <c r="F214" s="51">
        <v>10</v>
      </c>
    </row>
    <row r="215" spans="5:6" x14ac:dyDescent="0.15">
      <c r="E215">
        <f t="shared" si="3"/>
        <v>0</v>
      </c>
      <c r="F215" s="51">
        <v>10</v>
      </c>
    </row>
    <row r="216" spans="5:6" x14ac:dyDescent="0.15">
      <c r="E216">
        <f t="shared" si="3"/>
        <v>0</v>
      </c>
      <c r="F216" s="51">
        <v>10</v>
      </c>
    </row>
    <row r="217" spans="5:6" x14ac:dyDescent="0.15">
      <c r="E217">
        <f t="shared" si="3"/>
        <v>0</v>
      </c>
      <c r="F217" s="51">
        <v>10</v>
      </c>
    </row>
    <row r="218" spans="5:6" x14ac:dyDescent="0.15">
      <c r="E218">
        <f t="shared" si="3"/>
        <v>0</v>
      </c>
      <c r="F218" s="51">
        <v>10</v>
      </c>
    </row>
    <row r="219" spans="5:6" x14ac:dyDescent="0.15">
      <c r="E219">
        <f t="shared" si="3"/>
        <v>0</v>
      </c>
      <c r="F219" s="51">
        <v>10</v>
      </c>
    </row>
    <row r="220" spans="5:6" x14ac:dyDescent="0.15">
      <c r="E220">
        <f t="shared" si="3"/>
        <v>0</v>
      </c>
      <c r="F220" s="51">
        <v>10</v>
      </c>
    </row>
    <row r="221" spans="5:6" x14ac:dyDescent="0.15">
      <c r="E221">
        <f t="shared" si="3"/>
        <v>0</v>
      </c>
      <c r="F221" s="51">
        <v>10</v>
      </c>
    </row>
    <row r="222" spans="5:6" x14ac:dyDescent="0.15">
      <c r="E222">
        <f t="shared" si="3"/>
        <v>0</v>
      </c>
      <c r="F222" s="51">
        <v>10</v>
      </c>
    </row>
    <row r="223" spans="5:6" x14ac:dyDescent="0.15">
      <c r="E223">
        <f t="shared" si="3"/>
        <v>0</v>
      </c>
      <c r="F223" s="51">
        <v>10</v>
      </c>
    </row>
    <row r="224" spans="5:6" x14ac:dyDescent="0.15">
      <c r="E224">
        <f t="shared" si="3"/>
        <v>0</v>
      </c>
      <c r="F224" s="51">
        <v>10</v>
      </c>
    </row>
    <row r="225" spans="5:6" x14ac:dyDescent="0.15">
      <c r="E225">
        <f t="shared" si="3"/>
        <v>0</v>
      </c>
      <c r="F225" s="51">
        <v>10</v>
      </c>
    </row>
    <row r="226" spans="5:6" x14ac:dyDescent="0.15">
      <c r="E226">
        <f t="shared" si="3"/>
        <v>0</v>
      </c>
      <c r="F226" s="51">
        <v>10</v>
      </c>
    </row>
    <row r="227" spans="5:6" x14ac:dyDescent="0.15">
      <c r="E227">
        <f t="shared" si="3"/>
        <v>0</v>
      </c>
      <c r="F227" s="51">
        <v>10</v>
      </c>
    </row>
    <row r="228" spans="5:6" x14ac:dyDescent="0.15">
      <c r="E228">
        <f t="shared" si="3"/>
        <v>0</v>
      </c>
      <c r="F228" s="51">
        <v>10</v>
      </c>
    </row>
    <row r="229" spans="5:6" x14ac:dyDescent="0.15">
      <c r="E229">
        <f t="shared" si="3"/>
        <v>0</v>
      </c>
      <c r="F229" s="51">
        <v>10</v>
      </c>
    </row>
    <row r="230" spans="5:6" x14ac:dyDescent="0.15">
      <c r="E230">
        <f t="shared" si="3"/>
        <v>0</v>
      </c>
      <c r="F230" s="51">
        <v>10</v>
      </c>
    </row>
    <row r="231" spans="5:6" x14ac:dyDescent="0.15">
      <c r="E231">
        <f t="shared" si="3"/>
        <v>0</v>
      </c>
      <c r="F231" s="51">
        <v>10</v>
      </c>
    </row>
    <row r="232" spans="5:6" x14ac:dyDescent="0.15">
      <c r="E232">
        <f t="shared" si="3"/>
        <v>0</v>
      </c>
      <c r="F232" s="51">
        <v>10</v>
      </c>
    </row>
    <row r="233" spans="5:6" x14ac:dyDescent="0.15">
      <c r="E233">
        <f t="shared" si="3"/>
        <v>0</v>
      </c>
      <c r="F233" s="51">
        <v>10</v>
      </c>
    </row>
    <row r="234" spans="5:6" x14ac:dyDescent="0.15">
      <c r="E234">
        <f t="shared" si="3"/>
        <v>0</v>
      </c>
      <c r="F234" s="51">
        <v>10</v>
      </c>
    </row>
    <row r="235" spans="5:6" x14ac:dyDescent="0.15">
      <c r="E235">
        <f t="shared" si="3"/>
        <v>0</v>
      </c>
      <c r="F235" s="51">
        <v>10</v>
      </c>
    </row>
    <row r="236" spans="5:6" x14ac:dyDescent="0.15">
      <c r="E236">
        <f t="shared" si="3"/>
        <v>0</v>
      </c>
      <c r="F236" s="51">
        <v>10</v>
      </c>
    </row>
    <row r="237" spans="5:6" x14ac:dyDescent="0.15">
      <c r="E237">
        <f t="shared" si="3"/>
        <v>0</v>
      </c>
      <c r="F237" s="51">
        <v>10</v>
      </c>
    </row>
    <row r="238" spans="5:6" x14ac:dyDescent="0.15">
      <c r="E238">
        <f t="shared" si="3"/>
        <v>0</v>
      </c>
      <c r="F238" s="51">
        <v>10</v>
      </c>
    </row>
    <row r="239" spans="5:6" x14ac:dyDescent="0.15">
      <c r="E239">
        <f t="shared" si="3"/>
        <v>0</v>
      </c>
      <c r="F239" s="51">
        <v>10</v>
      </c>
    </row>
    <row r="240" spans="5:6" x14ac:dyDescent="0.15">
      <c r="E240">
        <f t="shared" si="3"/>
        <v>0</v>
      </c>
      <c r="F240" s="51">
        <v>10</v>
      </c>
    </row>
    <row r="241" spans="5:6" x14ac:dyDescent="0.15">
      <c r="E241">
        <f t="shared" si="3"/>
        <v>0</v>
      </c>
      <c r="F241" s="51">
        <v>10</v>
      </c>
    </row>
    <row r="242" spans="5:6" x14ac:dyDescent="0.15">
      <c r="E242">
        <f t="shared" si="3"/>
        <v>0</v>
      </c>
      <c r="F242" s="51">
        <v>10</v>
      </c>
    </row>
    <row r="243" spans="5:6" x14ac:dyDescent="0.15">
      <c r="E243">
        <f t="shared" si="3"/>
        <v>0</v>
      </c>
      <c r="F243" s="51">
        <v>10</v>
      </c>
    </row>
    <row r="244" spans="5:6" x14ac:dyDescent="0.15">
      <c r="E244">
        <f t="shared" si="3"/>
        <v>0</v>
      </c>
      <c r="F244" s="51">
        <v>10</v>
      </c>
    </row>
    <row r="245" spans="5:6" x14ac:dyDescent="0.15">
      <c r="E245">
        <f t="shared" si="3"/>
        <v>0</v>
      </c>
      <c r="F245" s="51">
        <v>10</v>
      </c>
    </row>
    <row r="246" spans="5:6" x14ac:dyDescent="0.15">
      <c r="E246">
        <f t="shared" si="3"/>
        <v>0</v>
      </c>
      <c r="F246" s="51">
        <v>10</v>
      </c>
    </row>
    <row r="247" spans="5:6" x14ac:dyDescent="0.15">
      <c r="E247">
        <f t="shared" si="3"/>
        <v>0</v>
      </c>
      <c r="F247" s="51">
        <v>10</v>
      </c>
    </row>
    <row r="248" spans="5:6" x14ac:dyDescent="0.15">
      <c r="E248">
        <f t="shared" si="3"/>
        <v>0</v>
      </c>
      <c r="F248" s="51">
        <v>10</v>
      </c>
    </row>
    <row r="249" spans="5:6" x14ac:dyDescent="0.15">
      <c r="E249">
        <f t="shared" si="3"/>
        <v>0</v>
      </c>
      <c r="F249" s="51">
        <v>10</v>
      </c>
    </row>
    <row r="250" spans="5:6" x14ac:dyDescent="0.15">
      <c r="E250">
        <f t="shared" si="3"/>
        <v>0</v>
      </c>
      <c r="F250" s="51">
        <v>10</v>
      </c>
    </row>
    <row r="251" spans="5:6" x14ac:dyDescent="0.15">
      <c r="E251">
        <f t="shared" si="3"/>
        <v>0</v>
      </c>
      <c r="F251" s="51">
        <v>10</v>
      </c>
    </row>
    <row r="252" spans="5:6" x14ac:dyDescent="0.15">
      <c r="E252">
        <f t="shared" si="3"/>
        <v>0</v>
      </c>
      <c r="F252" s="51">
        <v>10</v>
      </c>
    </row>
    <row r="253" spans="5:6" x14ac:dyDescent="0.15">
      <c r="E253">
        <f t="shared" si="3"/>
        <v>0</v>
      </c>
      <c r="F253" s="51">
        <v>10</v>
      </c>
    </row>
    <row r="254" spans="5:6" x14ac:dyDescent="0.15">
      <c r="E254">
        <f t="shared" si="3"/>
        <v>0</v>
      </c>
      <c r="F254" s="51">
        <v>10</v>
      </c>
    </row>
    <row r="255" spans="5:6" x14ac:dyDescent="0.15">
      <c r="E255">
        <f t="shared" si="3"/>
        <v>0</v>
      </c>
      <c r="F255" s="51">
        <v>10</v>
      </c>
    </row>
    <row r="256" spans="5:6" x14ac:dyDescent="0.15">
      <c r="E256">
        <f t="shared" si="3"/>
        <v>0</v>
      </c>
      <c r="F256" s="51">
        <v>10</v>
      </c>
    </row>
    <row r="257" spans="5:6" x14ac:dyDescent="0.15">
      <c r="E257">
        <f t="shared" si="3"/>
        <v>0</v>
      </c>
      <c r="F257" s="51">
        <v>10</v>
      </c>
    </row>
    <row r="258" spans="5:6" x14ac:dyDescent="0.15">
      <c r="E258">
        <f t="shared" si="3"/>
        <v>0</v>
      </c>
      <c r="F258" s="51">
        <v>10</v>
      </c>
    </row>
    <row r="259" spans="5:6" x14ac:dyDescent="0.15">
      <c r="E259">
        <f t="shared" si="3"/>
        <v>0</v>
      </c>
      <c r="F259" s="51">
        <v>10</v>
      </c>
    </row>
    <row r="260" spans="5:6" x14ac:dyDescent="0.15">
      <c r="E260">
        <f t="shared" ref="E260:E323" si="4">D260*F259%+D260</f>
        <v>0</v>
      </c>
      <c r="F260" s="51">
        <v>10</v>
      </c>
    </row>
    <row r="261" spans="5:6" x14ac:dyDescent="0.15">
      <c r="E261">
        <f t="shared" si="4"/>
        <v>0</v>
      </c>
      <c r="F261" s="51">
        <v>10</v>
      </c>
    </row>
    <row r="262" spans="5:6" x14ac:dyDescent="0.15">
      <c r="E262">
        <f t="shared" si="4"/>
        <v>0</v>
      </c>
      <c r="F262" s="51">
        <v>10</v>
      </c>
    </row>
    <row r="263" spans="5:6" x14ac:dyDescent="0.15">
      <c r="E263">
        <f t="shared" si="4"/>
        <v>0</v>
      </c>
      <c r="F263" s="51">
        <v>10</v>
      </c>
    </row>
    <row r="264" spans="5:6" x14ac:dyDescent="0.15">
      <c r="E264">
        <f t="shared" si="4"/>
        <v>0</v>
      </c>
      <c r="F264" s="51">
        <v>10</v>
      </c>
    </row>
    <row r="265" spans="5:6" x14ac:dyDescent="0.15">
      <c r="E265">
        <f t="shared" si="4"/>
        <v>0</v>
      </c>
      <c r="F265" s="51">
        <v>10</v>
      </c>
    </row>
    <row r="266" spans="5:6" x14ac:dyDescent="0.15">
      <c r="E266">
        <f t="shared" si="4"/>
        <v>0</v>
      </c>
      <c r="F266" s="51">
        <v>10</v>
      </c>
    </row>
    <row r="267" spans="5:6" x14ac:dyDescent="0.15">
      <c r="E267">
        <f t="shared" si="4"/>
        <v>0</v>
      </c>
      <c r="F267" s="51">
        <v>10</v>
      </c>
    </row>
    <row r="268" spans="5:6" x14ac:dyDescent="0.15">
      <c r="E268">
        <f t="shared" si="4"/>
        <v>0</v>
      </c>
      <c r="F268" s="51">
        <v>10</v>
      </c>
    </row>
    <row r="269" spans="5:6" x14ac:dyDescent="0.15">
      <c r="E269">
        <f t="shared" si="4"/>
        <v>0</v>
      </c>
      <c r="F269" s="51">
        <v>10</v>
      </c>
    </row>
    <row r="270" spans="5:6" x14ac:dyDescent="0.15">
      <c r="E270">
        <f t="shared" si="4"/>
        <v>0</v>
      </c>
      <c r="F270" s="51">
        <v>10</v>
      </c>
    </row>
    <row r="271" spans="5:6" x14ac:dyDescent="0.15">
      <c r="E271">
        <f t="shared" si="4"/>
        <v>0</v>
      </c>
      <c r="F271" s="51">
        <v>10</v>
      </c>
    </row>
    <row r="272" spans="5:6" x14ac:dyDescent="0.15">
      <c r="E272">
        <f t="shared" si="4"/>
        <v>0</v>
      </c>
      <c r="F272" s="51">
        <v>10</v>
      </c>
    </row>
    <row r="273" spans="5:6" x14ac:dyDescent="0.15">
      <c r="E273">
        <f t="shared" si="4"/>
        <v>0</v>
      </c>
      <c r="F273" s="51">
        <v>10</v>
      </c>
    </row>
    <row r="274" spans="5:6" x14ac:dyDescent="0.15">
      <c r="E274">
        <f t="shared" si="4"/>
        <v>0</v>
      </c>
      <c r="F274" s="51">
        <v>10</v>
      </c>
    </row>
    <row r="275" spans="5:6" x14ac:dyDescent="0.15">
      <c r="E275">
        <f t="shared" si="4"/>
        <v>0</v>
      </c>
      <c r="F275" s="51">
        <v>10</v>
      </c>
    </row>
    <row r="276" spans="5:6" x14ac:dyDescent="0.15">
      <c r="E276">
        <f t="shared" si="4"/>
        <v>0</v>
      </c>
      <c r="F276" s="51">
        <v>10</v>
      </c>
    </row>
    <row r="277" spans="5:6" x14ac:dyDescent="0.15">
      <c r="E277">
        <f t="shared" si="4"/>
        <v>0</v>
      </c>
      <c r="F277" s="51">
        <v>10</v>
      </c>
    </row>
    <row r="278" spans="5:6" x14ac:dyDescent="0.15">
      <c r="E278">
        <f t="shared" si="4"/>
        <v>0</v>
      </c>
      <c r="F278" s="51">
        <v>10</v>
      </c>
    </row>
    <row r="279" spans="5:6" x14ac:dyDescent="0.15">
      <c r="E279">
        <f t="shared" si="4"/>
        <v>0</v>
      </c>
      <c r="F279" s="51">
        <v>10</v>
      </c>
    </row>
    <row r="280" spans="5:6" x14ac:dyDescent="0.15">
      <c r="E280">
        <f t="shared" si="4"/>
        <v>0</v>
      </c>
      <c r="F280" s="51">
        <v>10</v>
      </c>
    </row>
    <row r="281" spans="5:6" x14ac:dyDescent="0.15">
      <c r="E281">
        <f t="shared" si="4"/>
        <v>0</v>
      </c>
      <c r="F281" s="51">
        <v>10</v>
      </c>
    </row>
    <row r="282" spans="5:6" x14ac:dyDescent="0.15">
      <c r="E282">
        <f t="shared" si="4"/>
        <v>0</v>
      </c>
      <c r="F282" s="51">
        <v>10</v>
      </c>
    </row>
    <row r="283" spans="5:6" x14ac:dyDescent="0.15">
      <c r="E283">
        <f t="shared" si="4"/>
        <v>0</v>
      </c>
      <c r="F283" s="51">
        <v>10</v>
      </c>
    </row>
    <row r="284" spans="5:6" x14ac:dyDescent="0.15">
      <c r="E284">
        <f t="shared" si="4"/>
        <v>0</v>
      </c>
      <c r="F284" s="51">
        <v>10</v>
      </c>
    </row>
    <row r="285" spans="5:6" x14ac:dyDescent="0.15">
      <c r="E285">
        <f t="shared" si="4"/>
        <v>0</v>
      </c>
      <c r="F285" s="51">
        <v>10</v>
      </c>
    </row>
    <row r="286" spans="5:6" x14ac:dyDescent="0.15">
      <c r="E286">
        <f t="shared" si="4"/>
        <v>0</v>
      </c>
      <c r="F286" s="51">
        <v>10</v>
      </c>
    </row>
    <row r="287" spans="5:6" x14ac:dyDescent="0.15">
      <c r="E287">
        <f t="shared" si="4"/>
        <v>0</v>
      </c>
      <c r="F287" s="51">
        <v>10</v>
      </c>
    </row>
    <row r="288" spans="5:6" x14ac:dyDescent="0.15">
      <c r="E288">
        <f t="shared" si="4"/>
        <v>0</v>
      </c>
      <c r="F288" s="51">
        <v>10</v>
      </c>
    </row>
    <row r="289" spans="5:6" x14ac:dyDescent="0.15">
      <c r="E289">
        <f t="shared" si="4"/>
        <v>0</v>
      </c>
      <c r="F289" s="51">
        <v>10</v>
      </c>
    </row>
    <row r="290" spans="5:6" x14ac:dyDescent="0.15">
      <c r="E290">
        <f t="shared" si="4"/>
        <v>0</v>
      </c>
      <c r="F290" s="51">
        <v>10</v>
      </c>
    </row>
    <row r="291" spans="5:6" x14ac:dyDescent="0.15">
      <c r="E291">
        <f t="shared" si="4"/>
        <v>0</v>
      </c>
      <c r="F291" s="51">
        <v>10</v>
      </c>
    </row>
    <row r="292" spans="5:6" x14ac:dyDescent="0.15">
      <c r="E292">
        <f t="shared" si="4"/>
        <v>0</v>
      </c>
      <c r="F292" s="51">
        <v>10</v>
      </c>
    </row>
    <row r="293" spans="5:6" x14ac:dyDescent="0.15">
      <c r="E293">
        <f t="shared" si="4"/>
        <v>0</v>
      </c>
      <c r="F293" s="51">
        <v>10</v>
      </c>
    </row>
    <row r="294" spans="5:6" x14ac:dyDescent="0.15">
      <c r="E294">
        <f t="shared" si="4"/>
        <v>0</v>
      </c>
      <c r="F294" s="51">
        <v>10</v>
      </c>
    </row>
    <row r="295" spans="5:6" x14ac:dyDescent="0.15">
      <c r="E295">
        <f t="shared" si="4"/>
        <v>0</v>
      </c>
      <c r="F295" s="51">
        <v>10</v>
      </c>
    </row>
    <row r="296" spans="5:6" x14ac:dyDescent="0.15">
      <c r="E296">
        <f t="shared" si="4"/>
        <v>0</v>
      </c>
      <c r="F296" s="51">
        <v>10</v>
      </c>
    </row>
    <row r="297" spans="5:6" x14ac:dyDescent="0.15">
      <c r="E297">
        <f t="shared" si="4"/>
        <v>0</v>
      </c>
      <c r="F297" s="51">
        <v>10</v>
      </c>
    </row>
    <row r="298" spans="5:6" x14ac:dyDescent="0.15">
      <c r="E298">
        <f t="shared" si="4"/>
        <v>0</v>
      </c>
      <c r="F298" s="51">
        <v>10</v>
      </c>
    </row>
    <row r="299" spans="5:6" x14ac:dyDescent="0.15">
      <c r="E299">
        <f t="shared" si="4"/>
        <v>0</v>
      </c>
      <c r="F299" s="51">
        <v>10</v>
      </c>
    </row>
    <row r="300" spans="5:6" x14ac:dyDescent="0.15">
      <c r="E300">
        <f t="shared" si="4"/>
        <v>0</v>
      </c>
      <c r="F300" s="51">
        <v>10</v>
      </c>
    </row>
    <row r="301" spans="5:6" x14ac:dyDescent="0.15">
      <c r="E301">
        <f t="shared" si="4"/>
        <v>0</v>
      </c>
      <c r="F301" s="51">
        <v>10</v>
      </c>
    </row>
    <row r="302" spans="5:6" x14ac:dyDescent="0.15">
      <c r="E302">
        <f t="shared" si="4"/>
        <v>0</v>
      </c>
      <c r="F302" s="51">
        <v>10</v>
      </c>
    </row>
    <row r="303" spans="5:6" x14ac:dyDescent="0.15">
      <c r="E303">
        <f t="shared" si="4"/>
        <v>0</v>
      </c>
      <c r="F303" s="51">
        <v>10</v>
      </c>
    </row>
    <row r="304" spans="5:6" x14ac:dyDescent="0.15">
      <c r="E304">
        <f t="shared" si="4"/>
        <v>0</v>
      </c>
      <c r="F304" s="51">
        <v>10</v>
      </c>
    </row>
    <row r="305" spans="5:6" x14ac:dyDescent="0.15">
      <c r="E305">
        <f t="shared" si="4"/>
        <v>0</v>
      </c>
      <c r="F305" s="51">
        <v>10</v>
      </c>
    </row>
    <row r="306" spans="5:6" x14ac:dyDescent="0.15">
      <c r="E306">
        <f t="shared" si="4"/>
        <v>0</v>
      </c>
      <c r="F306" s="51">
        <v>10</v>
      </c>
    </row>
    <row r="307" spans="5:6" x14ac:dyDescent="0.15">
      <c r="E307">
        <f t="shared" si="4"/>
        <v>0</v>
      </c>
      <c r="F307" s="51">
        <v>10</v>
      </c>
    </row>
    <row r="308" spans="5:6" x14ac:dyDescent="0.15">
      <c r="E308">
        <f t="shared" si="4"/>
        <v>0</v>
      </c>
      <c r="F308" s="51">
        <v>10</v>
      </c>
    </row>
    <row r="309" spans="5:6" x14ac:dyDescent="0.15">
      <c r="E309">
        <f t="shared" si="4"/>
        <v>0</v>
      </c>
      <c r="F309" s="51">
        <v>10</v>
      </c>
    </row>
    <row r="310" spans="5:6" x14ac:dyDescent="0.15">
      <c r="E310">
        <f t="shared" si="4"/>
        <v>0</v>
      </c>
      <c r="F310" s="51">
        <v>10</v>
      </c>
    </row>
    <row r="311" spans="5:6" x14ac:dyDescent="0.15">
      <c r="E311">
        <f t="shared" si="4"/>
        <v>0</v>
      </c>
      <c r="F311" s="51">
        <v>10</v>
      </c>
    </row>
    <row r="312" spans="5:6" x14ac:dyDescent="0.15">
      <c r="E312">
        <f t="shared" si="4"/>
        <v>0</v>
      </c>
      <c r="F312" s="51">
        <v>10</v>
      </c>
    </row>
    <row r="313" spans="5:6" x14ac:dyDescent="0.15">
      <c r="E313">
        <f t="shared" si="4"/>
        <v>0</v>
      </c>
      <c r="F313" s="51">
        <v>10</v>
      </c>
    </row>
    <row r="314" spans="5:6" x14ac:dyDescent="0.15">
      <c r="E314">
        <f t="shared" si="4"/>
        <v>0</v>
      </c>
      <c r="F314" s="51">
        <v>10</v>
      </c>
    </row>
    <row r="315" spans="5:6" x14ac:dyDescent="0.15">
      <c r="E315">
        <f t="shared" si="4"/>
        <v>0</v>
      </c>
      <c r="F315" s="51">
        <v>10</v>
      </c>
    </row>
    <row r="316" spans="5:6" x14ac:dyDescent="0.15">
      <c r="E316">
        <f t="shared" si="4"/>
        <v>0</v>
      </c>
      <c r="F316" s="51">
        <v>10</v>
      </c>
    </row>
    <row r="317" spans="5:6" x14ac:dyDescent="0.15">
      <c r="E317">
        <f t="shared" si="4"/>
        <v>0</v>
      </c>
      <c r="F317" s="51">
        <v>10</v>
      </c>
    </row>
    <row r="318" spans="5:6" x14ac:dyDescent="0.15">
      <c r="E318">
        <f t="shared" si="4"/>
        <v>0</v>
      </c>
      <c r="F318" s="51">
        <v>10</v>
      </c>
    </row>
    <row r="319" spans="5:6" x14ac:dyDescent="0.15">
      <c r="E319">
        <f t="shared" si="4"/>
        <v>0</v>
      </c>
      <c r="F319" s="51">
        <v>10</v>
      </c>
    </row>
    <row r="320" spans="5:6" x14ac:dyDescent="0.15">
      <c r="E320">
        <f t="shared" si="4"/>
        <v>0</v>
      </c>
      <c r="F320" s="51">
        <v>10</v>
      </c>
    </row>
    <row r="321" spans="5:6" x14ac:dyDescent="0.15">
      <c r="E321">
        <f t="shared" si="4"/>
        <v>0</v>
      </c>
      <c r="F321" s="51">
        <v>10</v>
      </c>
    </row>
    <row r="322" spans="5:6" x14ac:dyDescent="0.15">
      <c r="E322">
        <f t="shared" si="4"/>
        <v>0</v>
      </c>
      <c r="F322" s="51">
        <v>10</v>
      </c>
    </row>
    <row r="323" spans="5:6" x14ac:dyDescent="0.15">
      <c r="E323">
        <f t="shared" si="4"/>
        <v>0</v>
      </c>
      <c r="F323" s="51">
        <v>10</v>
      </c>
    </row>
    <row r="324" spans="5:6" x14ac:dyDescent="0.15">
      <c r="E324">
        <f t="shared" ref="E324:E387" si="5">D324*F323%+D324</f>
        <v>0</v>
      </c>
      <c r="F324" s="51">
        <v>10</v>
      </c>
    </row>
    <row r="325" spans="5:6" x14ac:dyDescent="0.15">
      <c r="E325">
        <f t="shared" si="5"/>
        <v>0</v>
      </c>
      <c r="F325" s="51">
        <v>10</v>
      </c>
    </row>
    <row r="326" spans="5:6" x14ac:dyDescent="0.15">
      <c r="E326">
        <f t="shared" si="5"/>
        <v>0</v>
      </c>
      <c r="F326" s="51">
        <v>10</v>
      </c>
    </row>
    <row r="327" spans="5:6" x14ac:dyDescent="0.15">
      <c r="E327">
        <f t="shared" si="5"/>
        <v>0</v>
      </c>
      <c r="F327" s="51">
        <v>10</v>
      </c>
    </row>
    <row r="328" spans="5:6" x14ac:dyDescent="0.15">
      <c r="E328">
        <f t="shared" si="5"/>
        <v>0</v>
      </c>
      <c r="F328" s="51">
        <v>10</v>
      </c>
    </row>
    <row r="329" spans="5:6" x14ac:dyDescent="0.15">
      <c r="E329">
        <f t="shared" si="5"/>
        <v>0</v>
      </c>
      <c r="F329" s="51">
        <v>10</v>
      </c>
    </row>
    <row r="330" spans="5:6" x14ac:dyDescent="0.15">
      <c r="E330">
        <f t="shared" si="5"/>
        <v>0</v>
      </c>
      <c r="F330" s="51">
        <v>10</v>
      </c>
    </row>
    <row r="331" spans="5:6" x14ac:dyDescent="0.15">
      <c r="E331">
        <f t="shared" si="5"/>
        <v>0</v>
      </c>
      <c r="F331" s="51">
        <v>10</v>
      </c>
    </row>
    <row r="332" spans="5:6" x14ac:dyDescent="0.15">
      <c r="E332">
        <f t="shared" si="5"/>
        <v>0</v>
      </c>
      <c r="F332" s="51">
        <v>10</v>
      </c>
    </row>
    <row r="333" spans="5:6" x14ac:dyDescent="0.15">
      <c r="E333">
        <f t="shared" si="5"/>
        <v>0</v>
      </c>
      <c r="F333" s="51">
        <v>10</v>
      </c>
    </row>
    <row r="334" spans="5:6" x14ac:dyDescent="0.15">
      <c r="E334">
        <f t="shared" si="5"/>
        <v>0</v>
      </c>
      <c r="F334" s="51">
        <v>10</v>
      </c>
    </row>
    <row r="335" spans="5:6" x14ac:dyDescent="0.15">
      <c r="E335">
        <f t="shared" si="5"/>
        <v>0</v>
      </c>
      <c r="F335" s="51">
        <v>10</v>
      </c>
    </row>
    <row r="336" spans="5:6" x14ac:dyDescent="0.15">
      <c r="E336">
        <f t="shared" si="5"/>
        <v>0</v>
      </c>
      <c r="F336" s="51">
        <v>10</v>
      </c>
    </row>
    <row r="337" spans="5:6" x14ac:dyDescent="0.15">
      <c r="E337">
        <f t="shared" si="5"/>
        <v>0</v>
      </c>
      <c r="F337" s="51">
        <v>10</v>
      </c>
    </row>
    <row r="338" spans="5:6" x14ac:dyDescent="0.15">
      <c r="E338">
        <f t="shared" si="5"/>
        <v>0</v>
      </c>
      <c r="F338" s="51">
        <v>10</v>
      </c>
    </row>
    <row r="339" spans="5:6" x14ac:dyDescent="0.15">
      <c r="E339">
        <f t="shared" si="5"/>
        <v>0</v>
      </c>
      <c r="F339" s="51">
        <v>10</v>
      </c>
    </row>
    <row r="340" spans="5:6" x14ac:dyDescent="0.15">
      <c r="E340">
        <f t="shared" si="5"/>
        <v>0</v>
      </c>
      <c r="F340" s="51">
        <v>10</v>
      </c>
    </row>
    <row r="341" spans="5:6" x14ac:dyDescent="0.15">
      <c r="E341">
        <f t="shared" si="5"/>
        <v>0</v>
      </c>
      <c r="F341" s="51">
        <v>10</v>
      </c>
    </row>
    <row r="342" spans="5:6" x14ac:dyDescent="0.15">
      <c r="E342">
        <f t="shared" si="5"/>
        <v>0</v>
      </c>
      <c r="F342" s="51">
        <v>10</v>
      </c>
    </row>
    <row r="343" spans="5:6" x14ac:dyDescent="0.15">
      <c r="E343">
        <f t="shared" si="5"/>
        <v>0</v>
      </c>
      <c r="F343" s="51">
        <v>10</v>
      </c>
    </row>
    <row r="344" spans="5:6" x14ac:dyDescent="0.15">
      <c r="E344">
        <f t="shared" si="5"/>
        <v>0</v>
      </c>
      <c r="F344" s="51">
        <v>10</v>
      </c>
    </row>
    <row r="345" spans="5:6" x14ac:dyDescent="0.15">
      <c r="E345">
        <f t="shared" si="5"/>
        <v>0</v>
      </c>
      <c r="F345" s="51">
        <v>10</v>
      </c>
    </row>
    <row r="346" spans="5:6" x14ac:dyDescent="0.15">
      <c r="E346">
        <f t="shared" si="5"/>
        <v>0</v>
      </c>
      <c r="F346" s="51">
        <v>10</v>
      </c>
    </row>
    <row r="347" spans="5:6" x14ac:dyDescent="0.15">
      <c r="E347">
        <f t="shared" si="5"/>
        <v>0</v>
      </c>
      <c r="F347" s="51">
        <v>10</v>
      </c>
    </row>
    <row r="348" spans="5:6" x14ac:dyDescent="0.15">
      <c r="E348">
        <f t="shared" si="5"/>
        <v>0</v>
      </c>
      <c r="F348" s="51">
        <v>10</v>
      </c>
    </row>
    <row r="349" spans="5:6" x14ac:dyDescent="0.15">
      <c r="E349">
        <f t="shared" si="5"/>
        <v>0</v>
      </c>
      <c r="F349" s="51">
        <v>10</v>
      </c>
    </row>
    <row r="350" spans="5:6" x14ac:dyDescent="0.15">
      <c r="E350">
        <f t="shared" si="5"/>
        <v>0</v>
      </c>
      <c r="F350" s="51">
        <v>10</v>
      </c>
    </row>
    <row r="351" spans="5:6" x14ac:dyDescent="0.15">
      <c r="E351">
        <f t="shared" si="5"/>
        <v>0</v>
      </c>
      <c r="F351" s="51">
        <v>10</v>
      </c>
    </row>
    <row r="352" spans="5:6" x14ac:dyDescent="0.15">
      <c r="E352">
        <f t="shared" si="5"/>
        <v>0</v>
      </c>
      <c r="F352" s="51">
        <v>10</v>
      </c>
    </row>
    <row r="353" spans="5:6" x14ac:dyDescent="0.15">
      <c r="E353">
        <f t="shared" si="5"/>
        <v>0</v>
      </c>
      <c r="F353" s="51">
        <v>10</v>
      </c>
    </row>
    <row r="354" spans="5:6" x14ac:dyDescent="0.15">
      <c r="E354">
        <f t="shared" si="5"/>
        <v>0</v>
      </c>
      <c r="F354" s="51">
        <v>10</v>
      </c>
    </row>
    <row r="355" spans="5:6" x14ac:dyDescent="0.15">
      <c r="E355">
        <f t="shared" si="5"/>
        <v>0</v>
      </c>
      <c r="F355" s="51">
        <v>10</v>
      </c>
    </row>
    <row r="356" spans="5:6" x14ac:dyDescent="0.15">
      <c r="E356">
        <f t="shared" si="5"/>
        <v>0</v>
      </c>
      <c r="F356" s="51">
        <v>10</v>
      </c>
    </row>
    <row r="357" spans="5:6" x14ac:dyDescent="0.15">
      <c r="E357">
        <f t="shared" si="5"/>
        <v>0</v>
      </c>
      <c r="F357" s="51">
        <v>10</v>
      </c>
    </row>
    <row r="358" spans="5:6" x14ac:dyDescent="0.15">
      <c r="E358">
        <f t="shared" si="5"/>
        <v>0</v>
      </c>
      <c r="F358" s="51">
        <v>10</v>
      </c>
    </row>
    <row r="359" spans="5:6" x14ac:dyDescent="0.15">
      <c r="E359">
        <f t="shared" si="5"/>
        <v>0</v>
      </c>
      <c r="F359" s="51">
        <v>10</v>
      </c>
    </row>
    <row r="360" spans="5:6" x14ac:dyDescent="0.15">
      <c r="E360">
        <f t="shared" si="5"/>
        <v>0</v>
      </c>
      <c r="F360" s="51">
        <v>10</v>
      </c>
    </row>
    <row r="361" spans="5:6" x14ac:dyDescent="0.15">
      <c r="E361">
        <f t="shared" si="5"/>
        <v>0</v>
      </c>
      <c r="F361" s="51">
        <v>10</v>
      </c>
    </row>
    <row r="362" spans="5:6" x14ac:dyDescent="0.15">
      <c r="E362">
        <f t="shared" si="5"/>
        <v>0</v>
      </c>
      <c r="F362" s="51">
        <v>10</v>
      </c>
    </row>
    <row r="363" spans="5:6" x14ac:dyDescent="0.15">
      <c r="E363">
        <f t="shared" si="5"/>
        <v>0</v>
      </c>
      <c r="F363" s="51">
        <v>10</v>
      </c>
    </row>
    <row r="364" spans="5:6" x14ac:dyDescent="0.15">
      <c r="E364">
        <f t="shared" si="5"/>
        <v>0</v>
      </c>
      <c r="F364" s="51">
        <v>10</v>
      </c>
    </row>
    <row r="365" spans="5:6" x14ac:dyDescent="0.15">
      <c r="E365">
        <f t="shared" si="5"/>
        <v>0</v>
      </c>
      <c r="F365" s="51">
        <v>10</v>
      </c>
    </row>
    <row r="366" spans="5:6" x14ac:dyDescent="0.15">
      <c r="E366">
        <f t="shared" si="5"/>
        <v>0</v>
      </c>
      <c r="F366" s="51">
        <v>10</v>
      </c>
    </row>
    <row r="367" spans="5:6" x14ac:dyDescent="0.15">
      <c r="E367">
        <f t="shared" si="5"/>
        <v>0</v>
      </c>
      <c r="F367" s="51">
        <v>10</v>
      </c>
    </row>
    <row r="368" spans="5:6" x14ac:dyDescent="0.15">
      <c r="E368">
        <f t="shared" si="5"/>
        <v>0</v>
      </c>
      <c r="F368" s="51">
        <v>10</v>
      </c>
    </row>
    <row r="369" spans="5:6" x14ac:dyDescent="0.15">
      <c r="E369">
        <f t="shared" si="5"/>
        <v>0</v>
      </c>
      <c r="F369" s="51">
        <v>10</v>
      </c>
    </row>
    <row r="370" spans="5:6" x14ac:dyDescent="0.15">
      <c r="E370">
        <f t="shared" si="5"/>
        <v>0</v>
      </c>
      <c r="F370" s="51">
        <v>10</v>
      </c>
    </row>
    <row r="371" spans="5:6" x14ac:dyDescent="0.15">
      <c r="E371">
        <f t="shared" si="5"/>
        <v>0</v>
      </c>
      <c r="F371" s="51">
        <v>10</v>
      </c>
    </row>
    <row r="372" spans="5:6" x14ac:dyDescent="0.15">
      <c r="E372">
        <f t="shared" si="5"/>
        <v>0</v>
      </c>
      <c r="F372" s="51">
        <v>10</v>
      </c>
    </row>
    <row r="373" spans="5:6" x14ac:dyDescent="0.15">
      <c r="E373">
        <f t="shared" si="5"/>
        <v>0</v>
      </c>
      <c r="F373" s="51">
        <v>10</v>
      </c>
    </row>
    <row r="374" spans="5:6" x14ac:dyDescent="0.15">
      <c r="E374">
        <f t="shared" si="5"/>
        <v>0</v>
      </c>
      <c r="F374" s="51">
        <v>10</v>
      </c>
    </row>
    <row r="375" spans="5:6" x14ac:dyDescent="0.15">
      <c r="E375">
        <f t="shared" si="5"/>
        <v>0</v>
      </c>
      <c r="F375" s="51">
        <v>10</v>
      </c>
    </row>
    <row r="376" spans="5:6" x14ac:dyDescent="0.15">
      <c r="E376">
        <f t="shared" si="5"/>
        <v>0</v>
      </c>
      <c r="F376" s="51">
        <v>10</v>
      </c>
    </row>
    <row r="377" spans="5:6" x14ac:dyDescent="0.15">
      <c r="E377">
        <f t="shared" si="5"/>
        <v>0</v>
      </c>
      <c r="F377" s="51">
        <v>10</v>
      </c>
    </row>
    <row r="378" spans="5:6" x14ac:dyDescent="0.15">
      <c r="E378">
        <f t="shared" si="5"/>
        <v>0</v>
      </c>
      <c r="F378" s="51">
        <v>10</v>
      </c>
    </row>
    <row r="379" spans="5:6" x14ac:dyDescent="0.15">
      <c r="E379">
        <f t="shared" si="5"/>
        <v>0</v>
      </c>
      <c r="F379" s="51">
        <v>10</v>
      </c>
    </row>
    <row r="380" spans="5:6" x14ac:dyDescent="0.15">
      <c r="E380">
        <f t="shared" si="5"/>
        <v>0</v>
      </c>
      <c r="F380" s="51">
        <v>10</v>
      </c>
    </row>
    <row r="381" spans="5:6" x14ac:dyDescent="0.15">
      <c r="E381">
        <f t="shared" si="5"/>
        <v>0</v>
      </c>
      <c r="F381" s="51">
        <v>10</v>
      </c>
    </row>
    <row r="382" spans="5:6" x14ac:dyDescent="0.15">
      <c r="E382">
        <f t="shared" si="5"/>
        <v>0</v>
      </c>
      <c r="F382" s="51">
        <v>10</v>
      </c>
    </row>
    <row r="383" spans="5:6" x14ac:dyDescent="0.15">
      <c r="E383">
        <f t="shared" si="5"/>
        <v>0</v>
      </c>
      <c r="F383" s="51">
        <v>10</v>
      </c>
    </row>
    <row r="384" spans="5:6" x14ac:dyDescent="0.15">
      <c r="E384">
        <f t="shared" si="5"/>
        <v>0</v>
      </c>
      <c r="F384" s="51">
        <v>10</v>
      </c>
    </row>
    <row r="385" spans="5:6" x14ac:dyDescent="0.15">
      <c r="E385">
        <f t="shared" si="5"/>
        <v>0</v>
      </c>
      <c r="F385" s="51">
        <v>10</v>
      </c>
    </row>
    <row r="386" spans="5:6" x14ac:dyDescent="0.15">
      <c r="E386">
        <f t="shared" si="5"/>
        <v>0</v>
      </c>
      <c r="F386" s="51">
        <v>10</v>
      </c>
    </row>
    <row r="387" spans="5:6" x14ac:dyDescent="0.15">
      <c r="E387">
        <f t="shared" si="5"/>
        <v>0</v>
      </c>
      <c r="F387" s="51">
        <v>10</v>
      </c>
    </row>
    <row r="388" spans="5:6" x14ac:dyDescent="0.15">
      <c r="E388">
        <f t="shared" ref="E388:E451" si="6">D388*F387%+D388</f>
        <v>0</v>
      </c>
      <c r="F388" s="51">
        <v>10</v>
      </c>
    </row>
    <row r="389" spans="5:6" x14ac:dyDescent="0.15">
      <c r="E389">
        <f t="shared" si="6"/>
        <v>0</v>
      </c>
      <c r="F389" s="51">
        <v>10</v>
      </c>
    </row>
    <row r="390" spans="5:6" x14ac:dyDescent="0.15">
      <c r="E390">
        <f t="shared" si="6"/>
        <v>0</v>
      </c>
      <c r="F390" s="51">
        <v>10</v>
      </c>
    </row>
    <row r="391" spans="5:6" x14ac:dyDescent="0.15">
      <c r="E391">
        <f t="shared" si="6"/>
        <v>0</v>
      </c>
      <c r="F391" s="51">
        <v>10</v>
      </c>
    </row>
    <row r="392" spans="5:6" x14ac:dyDescent="0.15">
      <c r="E392">
        <f t="shared" si="6"/>
        <v>0</v>
      </c>
      <c r="F392" s="51">
        <v>10</v>
      </c>
    </row>
    <row r="393" spans="5:6" x14ac:dyDescent="0.15">
      <c r="E393">
        <f t="shared" si="6"/>
        <v>0</v>
      </c>
      <c r="F393" s="51">
        <v>10</v>
      </c>
    </row>
    <row r="394" spans="5:6" x14ac:dyDescent="0.15">
      <c r="E394">
        <f t="shared" si="6"/>
        <v>0</v>
      </c>
      <c r="F394" s="51">
        <v>10</v>
      </c>
    </row>
    <row r="395" spans="5:6" x14ac:dyDescent="0.15">
      <c r="E395">
        <f t="shared" si="6"/>
        <v>0</v>
      </c>
      <c r="F395" s="51">
        <v>10</v>
      </c>
    </row>
    <row r="396" spans="5:6" x14ac:dyDescent="0.15">
      <c r="E396">
        <f t="shared" si="6"/>
        <v>0</v>
      </c>
      <c r="F396" s="51">
        <v>10</v>
      </c>
    </row>
    <row r="397" spans="5:6" x14ac:dyDescent="0.15">
      <c r="E397">
        <f t="shared" si="6"/>
        <v>0</v>
      </c>
      <c r="F397" s="51">
        <v>10</v>
      </c>
    </row>
    <row r="398" spans="5:6" x14ac:dyDescent="0.15">
      <c r="E398">
        <f t="shared" si="6"/>
        <v>0</v>
      </c>
      <c r="F398" s="51">
        <v>10</v>
      </c>
    </row>
    <row r="399" spans="5:6" x14ac:dyDescent="0.15">
      <c r="E399">
        <f t="shared" si="6"/>
        <v>0</v>
      </c>
      <c r="F399" s="51">
        <v>10</v>
      </c>
    </row>
    <row r="400" spans="5:6" x14ac:dyDescent="0.15">
      <c r="E400">
        <f t="shared" si="6"/>
        <v>0</v>
      </c>
      <c r="F400" s="51">
        <v>10</v>
      </c>
    </row>
    <row r="401" spans="5:6" x14ac:dyDescent="0.15">
      <c r="E401">
        <f t="shared" si="6"/>
        <v>0</v>
      </c>
      <c r="F401" s="51">
        <v>10</v>
      </c>
    </row>
    <row r="402" spans="5:6" x14ac:dyDescent="0.15">
      <c r="E402">
        <f t="shared" si="6"/>
        <v>0</v>
      </c>
      <c r="F402" s="51">
        <v>10</v>
      </c>
    </row>
    <row r="403" spans="5:6" x14ac:dyDescent="0.15">
      <c r="E403">
        <f t="shared" si="6"/>
        <v>0</v>
      </c>
      <c r="F403" s="51">
        <v>10</v>
      </c>
    </row>
    <row r="404" spans="5:6" x14ac:dyDescent="0.15">
      <c r="E404">
        <f t="shared" si="6"/>
        <v>0</v>
      </c>
      <c r="F404" s="51">
        <v>10</v>
      </c>
    </row>
    <row r="405" spans="5:6" x14ac:dyDescent="0.15">
      <c r="E405">
        <f t="shared" si="6"/>
        <v>0</v>
      </c>
      <c r="F405" s="51">
        <v>10</v>
      </c>
    </row>
    <row r="406" spans="5:6" x14ac:dyDescent="0.15">
      <c r="E406">
        <f t="shared" si="6"/>
        <v>0</v>
      </c>
      <c r="F406" s="51">
        <v>10</v>
      </c>
    </row>
    <row r="407" spans="5:6" x14ac:dyDescent="0.15">
      <c r="E407">
        <f t="shared" si="6"/>
        <v>0</v>
      </c>
      <c r="F407" s="51">
        <v>10</v>
      </c>
    </row>
    <row r="408" spans="5:6" x14ac:dyDescent="0.15">
      <c r="E408">
        <f t="shared" si="6"/>
        <v>0</v>
      </c>
      <c r="F408" s="51">
        <v>10</v>
      </c>
    </row>
    <row r="409" spans="5:6" x14ac:dyDescent="0.15">
      <c r="E409">
        <f t="shared" si="6"/>
        <v>0</v>
      </c>
      <c r="F409" s="51">
        <v>10</v>
      </c>
    </row>
    <row r="410" spans="5:6" x14ac:dyDescent="0.15">
      <c r="E410">
        <f t="shared" si="6"/>
        <v>0</v>
      </c>
      <c r="F410" s="51">
        <v>10</v>
      </c>
    </row>
    <row r="411" spans="5:6" x14ac:dyDescent="0.15">
      <c r="E411">
        <f t="shared" si="6"/>
        <v>0</v>
      </c>
      <c r="F411" s="51">
        <v>10</v>
      </c>
    </row>
    <row r="412" spans="5:6" x14ac:dyDescent="0.15">
      <c r="E412">
        <f t="shared" si="6"/>
        <v>0</v>
      </c>
      <c r="F412" s="51">
        <v>10</v>
      </c>
    </row>
    <row r="413" spans="5:6" x14ac:dyDescent="0.15">
      <c r="E413">
        <f t="shared" si="6"/>
        <v>0</v>
      </c>
      <c r="F413" s="51">
        <v>10</v>
      </c>
    </row>
    <row r="414" spans="5:6" x14ac:dyDescent="0.15">
      <c r="E414">
        <f t="shared" si="6"/>
        <v>0</v>
      </c>
      <c r="F414" s="51">
        <v>10</v>
      </c>
    </row>
    <row r="415" spans="5:6" x14ac:dyDescent="0.15">
      <c r="E415">
        <f t="shared" si="6"/>
        <v>0</v>
      </c>
      <c r="F415" s="51">
        <v>10</v>
      </c>
    </row>
    <row r="416" spans="5:6" x14ac:dyDescent="0.15">
      <c r="E416">
        <f t="shared" si="6"/>
        <v>0</v>
      </c>
      <c r="F416" s="51">
        <v>10</v>
      </c>
    </row>
    <row r="417" spans="5:6" x14ac:dyDescent="0.15">
      <c r="E417">
        <f t="shared" si="6"/>
        <v>0</v>
      </c>
      <c r="F417" s="51">
        <v>10</v>
      </c>
    </row>
    <row r="418" spans="5:6" x14ac:dyDescent="0.15">
      <c r="E418">
        <f t="shared" si="6"/>
        <v>0</v>
      </c>
      <c r="F418" s="51">
        <v>10</v>
      </c>
    </row>
    <row r="419" spans="5:6" x14ac:dyDescent="0.15">
      <c r="E419">
        <f t="shared" si="6"/>
        <v>0</v>
      </c>
      <c r="F419" s="51">
        <v>10</v>
      </c>
    </row>
    <row r="420" spans="5:6" x14ac:dyDescent="0.15">
      <c r="E420">
        <f t="shared" si="6"/>
        <v>0</v>
      </c>
      <c r="F420" s="51">
        <v>10</v>
      </c>
    </row>
    <row r="421" spans="5:6" x14ac:dyDescent="0.15">
      <c r="E421">
        <f t="shared" si="6"/>
        <v>0</v>
      </c>
      <c r="F421" s="51">
        <v>10</v>
      </c>
    </row>
    <row r="422" spans="5:6" x14ac:dyDescent="0.15">
      <c r="E422">
        <f t="shared" si="6"/>
        <v>0</v>
      </c>
      <c r="F422" s="51">
        <v>10</v>
      </c>
    </row>
    <row r="423" spans="5:6" x14ac:dyDescent="0.15">
      <c r="E423">
        <f t="shared" si="6"/>
        <v>0</v>
      </c>
      <c r="F423" s="51">
        <v>10</v>
      </c>
    </row>
    <row r="424" spans="5:6" x14ac:dyDescent="0.15">
      <c r="E424">
        <f t="shared" si="6"/>
        <v>0</v>
      </c>
      <c r="F424" s="51">
        <v>10</v>
      </c>
    </row>
    <row r="425" spans="5:6" x14ac:dyDescent="0.15">
      <c r="E425">
        <f t="shared" si="6"/>
        <v>0</v>
      </c>
      <c r="F425" s="51">
        <v>10</v>
      </c>
    </row>
    <row r="426" spans="5:6" x14ac:dyDescent="0.15">
      <c r="E426">
        <f t="shared" si="6"/>
        <v>0</v>
      </c>
      <c r="F426" s="51">
        <v>10</v>
      </c>
    </row>
    <row r="427" spans="5:6" x14ac:dyDescent="0.15">
      <c r="E427">
        <f t="shared" si="6"/>
        <v>0</v>
      </c>
      <c r="F427" s="51">
        <v>10</v>
      </c>
    </row>
    <row r="428" spans="5:6" x14ac:dyDescent="0.15">
      <c r="E428">
        <f t="shared" si="6"/>
        <v>0</v>
      </c>
      <c r="F428" s="51">
        <v>10</v>
      </c>
    </row>
    <row r="429" spans="5:6" x14ac:dyDescent="0.15">
      <c r="E429">
        <f t="shared" si="6"/>
        <v>0</v>
      </c>
      <c r="F429" s="51">
        <v>10</v>
      </c>
    </row>
    <row r="430" spans="5:6" x14ac:dyDescent="0.15">
      <c r="E430">
        <f t="shared" si="6"/>
        <v>0</v>
      </c>
      <c r="F430" s="51">
        <v>10</v>
      </c>
    </row>
    <row r="431" spans="5:6" x14ac:dyDescent="0.15">
      <c r="E431">
        <f t="shared" si="6"/>
        <v>0</v>
      </c>
      <c r="F431" s="51">
        <v>10</v>
      </c>
    </row>
    <row r="432" spans="5:6" x14ac:dyDescent="0.15">
      <c r="E432">
        <f t="shared" si="6"/>
        <v>0</v>
      </c>
      <c r="F432" s="51">
        <v>10</v>
      </c>
    </row>
    <row r="433" spans="5:6" x14ac:dyDescent="0.15">
      <c r="E433">
        <f t="shared" si="6"/>
        <v>0</v>
      </c>
      <c r="F433" s="51">
        <v>10</v>
      </c>
    </row>
    <row r="434" spans="5:6" x14ac:dyDescent="0.15">
      <c r="E434">
        <f t="shared" si="6"/>
        <v>0</v>
      </c>
      <c r="F434" s="51">
        <v>10</v>
      </c>
    </row>
    <row r="435" spans="5:6" x14ac:dyDescent="0.15">
      <c r="E435">
        <f t="shared" si="6"/>
        <v>0</v>
      </c>
      <c r="F435" s="51">
        <v>10</v>
      </c>
    </row>
    <row r="436" spans="5:6" x14ac:dyDescent="0.15">
      <c r="E436">
        <f t="shared" si="6"/>
        <v>0</v>
      </c>
      <c r="F436" s="51">
        <v>10</v>
      </c>
    </row>
    <row r="437" spans="5:6" x14ac:dyDescent="0.15">
      <c r="E437">
        <f t="shared" si="6"/>
        <v>0</v>
      </c>
      <c r="F437" s="51">
        <v>10</v>
      </c>
    </row>
    <row r="438" spans="5:6" x14ac:dyDescent="0.15">
      <c r="E438">
        <f t="shared" si="6"/>
        <v>0</v>
      </c>
      <c r="F438" s="51">
        <v>10</v>
      </c>
    </row>
    <row r="439" spans="5:6" x14ac:dyDescent="0.15">
      <c r="E439">
        <f t="shared" si="6"/>
        <v>0</v>
      </c>
      <c r="F439" s="51">
        <v>10</v>
      </c>
    </row>
    <row r="440" spans="5:6" x14ac:dyDescent="0.15">
      <c r="E440">
        <f t="shared" si="6"/>
        <v>0</v>
      </c>
      <c r="F440" s="51">
        <v>10</v>
      </c>
    </row>
    <row r="441" spans="5:6" x14ac:dyDescent="0.15">
      <c r="E441">
        <f t="shared" si="6"/>
        <v>0</v>
      </c>
      <c r="F441" s="51">
        <v>10</v>
      </c>
    </row>
    <row r="442" spans="5:6" x14ac:dyDescent="0.15">
      <c r="E442">
        <f t="shared" si="6"/>
        <v>0</v>
      </c>
      <c r="F442" s="51">
        <v>10</v>
      </c>
    </row>
    <row r="443" spans="5:6" x14ac:dyDescent="0.15">
      <c r="E443">
        <f t="shared" si="6"/>
        <v>0</v>
      </c>
      <c r="F443" s="51">
        <v>10</v>
      </c>
    </row>
    <row r="444" spans="5:6" x14ac:dyDescent="0.15">
      <c r="E444">
        <f t="shared" si="6"/>
        <v>0</v>
      </c>
      <c r="F444" s="51">
        <v>10</v>
      </c>
    </row>
    <row r="445" spans="5:6" x14ac:dyDescent="0.15">
      <c r="E445">
        <f t="shared" si="6"/>
        <v>0</v>
      </c>
      <c r="F445" s="51">
        <v>10</v>
      </c>
    </row>
    <row r="446" spans="5:6" x14ac:dyDescent="0.15">
      <c r="E446">
        <f t="shared" si="6"/>
        <v>0</v>
      </c>
      <c r="F446" s="51">
        <v>10</v>
      </c>
    </row>
    <row r="447" spans="5:6" x14ac:dyDescent="0.15">
      <c r="E447">
        <f t="shared" si="6"/>
        <v>0</v>
      </c>
      <c r="F447" s="51">
        <v>10</v>
      </c>
    </row>
    <row r="448" spans="5:6" x14ac:dyDescent="0.15">
      <c r="E448">
        <f t="shared" si="6"/>
        <v>0</v>
      </c>
      <c r="F448" s="51">
        <v>10</v>
      </c>
    </row>
    <row r="449" spans="5:6" x14ac:dyDescent="0.15">
      <c r="E449">
        <f t="shared" si="6"/>
        <v>0</v>
      </c>
      <c r="F449" s="51">
        <v>10</v>
      </c>
    </row>
    <row r="450" spans="5:6" x14ac:dyDescent="0.15">
      <c r="E450">
        <f t="shared" si="6"/>
        <v>0</v>
      </c>
      <c r="F450" s="51">
        <v>10</v>
      </c>
    </row>
    <row r="451" spans="5:6" x14ac:dyDescent="0.15">
      <c r="E451">
        <f t="shared" si="6"/>
        <v>0</v>
      </c>
      <c r="F451" s="51">
        <v>10</v>
      </c>
    </row>
    <row r="452" spans="5:6" x14ac:dyDescent="0.15">
      <c r="E452">
        <f t="shared" ref="E452:E515" si="7">D452*F451%+D452</f>
        <v>0</v>
      </c>
      <c r="F452" s="51">
        <v>10</v>
      </c>
    </row>
    <row r="453" spans="5:6" x14ac:dyDescent="0.15">
      <c r="E453">
        <f t="shared" si="7"/>
        <v>0</v>
      </c>
      <c r="F453" s="51">
        <v>10</v>
      </c>
    </row>
    <row r="454" spans="5:6" x14ac:dyDescent="0.15">
      <c r="E454">
        <f t="shared" si="7"/>
        <v>0</v>
      </c>
      <c r="F454" s="51">
        <v>10</v>
      </c>
    </row>
    <row r="455" spans="5:6" x14ac:dyDescent="0.15">
      <c r="E455">
        <f t="shared" si="7"/>
        <v>0</v>
      </c>
      <c r="F455" s="51">
        <v>10</v>
      </c>
    </row>
    <row r="456" spans="5:6" x14ac:dyDescent="0.15">
      <c r="E456">
        <f t="shared" si="7"/>
        <v>0</v>
      </c>
      <c r="F456" s="51">
        <v>10</v>
      </c>
    </row>
    <row r="457" spans="5:6" x14ac:dyDescent="0.15">
      <c r="E457">
        <f t="shared" si="7"/>
        <v>0</v>
      </c>
      <c r="F457" s="51">
        <v>10</v>
      </c>
    </row>
    <row r="458" spans="5:6" x14ac:dyDescent="0.15">
      <c r="E458">
        <f t="shared" si="7"/>
        <v>0</v>
      </c>
      <c r="F458" s="51">
        <v>10</v>
      </c>
    </row>
    <row r="459" spans="5:6" x14ac:dyDescent="0.15">
      <c r="E459">
        <f t="shared" si="7"/>
        <v>0</v>
      </c>
      <c r="F459" s="51">
        <v>10</v>
      </c>
    </row>
    <row r="460" spans="5:6" x14ac:dyDescent="0.15">
      <c r="E460">
        <f t="shared" si="7"/>
        <v>0</v>
      </c>
      <c r="F460" s="51">
        <v>10</v>
      </c>
    </row>
    <row r="461" spans="5:6" x14ac:dyDescent="0.15">
      <c r="E461">
        <f t="shared" si="7"/>
        <v>0</v>
      </c>
      <c r="F461" s="51">
        <v>10</v>
      </c>
    </row>
    <row r="462" spans="5:6" x14ac:dyDescent="0.15">
      <c r="E462">
        <f t="shared" si="7"/>
        <v>0</v>
      </c>
      <c r="F462" s="51">
        <v>10</v>
      </c>
    </row>
    <row r="463" spans="5:6" x14ac:dyDescent="0.15">
      <c r="E463">
        <f t="shared" si="7"/>
        <v>0</v>
      </c>
      <c r="F463" s="51">
        <v>10</v>
      </c>
    </row>
    <row r="464" spans="5:6" x14ac:dyDescent="0.15">
      <c r="E464">
        <f t="shared" si="7"/>
        <v>0</v>
      </c>
      <c r="F464" s="51">
        <v>10</v>
      </c>
    </row>
    <row r="465" spans="5:6" x14ac:dyDescent="0.15">
      <c r="E465">
        <f t="shared" si="7"/>
        <v>0</v>
      </c>
      <c r="F465" s="51">
        <v>10</v>
      </c>
    </row>
    <row r="466" spans="5:6" x14ac:dyDescent="0.15">
      <c r="E466">
        <f t="shared" si="7"/>
        <v>0</v>
      </c>
      <c r="F466" s="51">
        <v>10</v>
      </c>
    </row>
    <row r="467" spans="5:6" x14ac:dyDescent="0.15">
      <c r="E467">
        <f t="shared" si="7"/>
        <v>0</v>
      </c>
      <c r="F467" s="51">
        <v>10</v>
      </c>
    </row>
    <row r="468" spans="5:6" x14ac:dyDescent="0.15">
      <c r="E468">
        <f t="shared" si="7"/>
        <v>0</v>
      </c>
      <c r="F468" s="51">
        <v>10</v>
      </c>
    </row>
    <row r="469" spans="5:6" x14ac:dyDescent="0.15">
      <c r="E469">
        <f t="shared" si="7"/>
        <v>0</v>
      </c>
      <c r="F469" s="51">
        <v>10</v>
      </c>
    </row>
    <row r="470" spans="5:6" x14ac:dyDescent="0.15">
      <c r="E470">
        <f t="shared" si="7"/>
        <v>0</v>
      </c>
      <c r="F470" s="51">
        <v>10</v>
      </c>
    </row>
    <row r="471" spans="5:6" x14ac:dyDescent="0.15">
      <c r="E471">
        <f t="shared" si="7"/>
        <v>0</v>
      </c>
      <c r="F471" s="51">
        <v>10</v>
      </c>
    </row>
    <row r="472" spans="5:6" x14ac:dyDescent="0.15">
      <c r="E472">
        <f t="shared" si="7"/>
        <v>0</v>
      </c>
      <c r="F472" s="51">
        <v>10</v>
      </c>
    </row>
    <row r="473" spans="5:6" x14ac:dyDescent="0.15">
      <c r="E473">
        <f t="shared" si="7"/>
        <v>0</v>
      </c>
      <c r="F473" s="51">
        <v>10</v>
      </c>
    </row>
    <row r="474" spans="5:6" x14ac:dyDescent="0.15">
      <c r="E474">
        <f t="shared" si="7"/>
        <v>0</v>
      </c>
      <c r="F474" s="51">
        <v>10</v>
      </c>
    </row>
    <row r="475" spans="5:6" x14ac:dyDescent="0.15">
      <c r="E475">
        <f t="shared" si="7"/>
        <v>0</v>
      </c>
      <c r="F475" s="51">
        <v>10</v>
      </c>
    </row>
    <row r="476" spans="5:6" x14ac:dyDescent="0.15">
      <c r="E476">
        <f t="shared" si="7"/>
        <v>0</v>
      </c>
      <c r="F476" s="51">
        <v>10</v>
      </c>
    </row>
    <row r="477" spans="5:6" x14ac:dyDescent="0.15">
      <c r="E477">
        <f t="shared" si="7"/>
        <v>0</v>
      </c>
      <c r="F477" s="51">
        <v>10</v>
      </c>
    </row>
    <row r="478" spans="5:6" x14ac:dyDescent="0.15">
      <c r="E478">
        <f t="shared" si="7"/>
        <v>0</v>
      </c>
      <c r="F478" s="51">
        <v>10</v>
      </c>
    </row>
    <row r="479" spans="5:6" x14ac:dyDescent="0.15">
      <c r="E479">
        <f t="shared" si="7"/>
        <v>0</v>
      </c>
      <c r="F479" s="51">
        <v>10</v>
      </c>
    </row>
    <row r="480" spans="5:6" x14ac:dyDescent="0.15">
      <c r="E480">
        <f t="shared" si="7"/>
        <v>0</v>
      </c>
      <c r="F480" s="51">
        <v>10</v>
      </c>
    </row>
    <row r="481" spans="5:6" x14ac:dyDescent="0.15">
      <c r="E481">
        <f t="shared" si="7"/>
        <v>0</v>
      </c>
      <c r="F481" s="51">
        <v>10</v>
      </c>
    </row>
    <row r="482" spans="5:6" x14ac:dyDescent="0.15">
      <c r="E482">
        <f t="shared" si="7"/>
        <v>0</v>
      </c>
      <c r="F482" s="51">
        <v>10</v>
      </c>
    </row>
    <row r="483" spans="5:6" x14ac:dyDescent="0.15">
      <c r="E483">
        <f t="shared" si="7"/>
        <v>0</v>
      </c>
      <c r="F483" s="51">
        <v>10</v>
      </c>
    </row>
    <row r="484" spans="5:6" x14ac:dyDescent="0.15">
      <c r="E484">
        <f t="shared" si="7"/>
        <v>0</v>
      </c>
      <c r="F484" s="51">
        <v>10</v>
      </c>
    </row>
    <row r="485" spans="5:6" x14ac:dyDescent="0.15">
      <c r="E485">
        <f t="shared" si="7"/>
        <v>0</v>
      </c>
      <c r="F485" s="51">
        <v>10</v>
      </c>
    </row>
    <row r="486" spans="5:6" x14ac:dyDescent="0.15">
      <c r="E486">
        <f t="shared" si="7"/>
        <v>0</v>
      </c>
      <c r="F486" s="51">
        <v>10</v>
      </c>
    </row>
    <row r="487" spans="5:6" x14ac:dyDescent="0.15">
      <c r="E487">
        <f t="shared" si="7"/>
        <v>0</v>
      </c>
      <c r="F487" s="51">
        <v>10</v>
      </c>
    </row>
    <row r="488" spans="5:6" x14ac:dyDescent="0.15">
      <c r="E488">
        <f t="shared" si="7"/>
        <v>0</v>
      </c>
      <c r="F488" s="51">
        <v>10</v>
      </c>
    </row>
    <row r="489" spans="5:6" x14ac:dyDescent="0.15">
      <c r="E489">
        <f t="shared" si="7"/>
        <v>0</v>
      </c>
      <c r="F489" s="51">
        <v>10</v>
      </c>
    </row>
    <row r="490" spans="5:6" x14ac:dyDescent="0.15">
      <c r="E490">
        <f t="shared" si="7"/>
        <v>0</v>
      </c>
      <c r="F490" s="51">
        <v>10</v>
      </c>
    </row>
    <row r="491" spans="5:6" x14ac:dyDescent="0.15">
      <c r="E491">
        <f t="shared" si="7"/>
        <v>0</v>
      </c>
      <c r="F491" s="51">
        <v>10</v>
      </c>
    </row>
    <row r="492" spans="5:6" x14ac:dyDescent="0.15">
      <c r="E492">
        <f t="shared" si="7"/>
        <v>0</v>
      </c>
      <c r="F492" s="51">
        <v>10</v>
      </c>
    </row>
    <row r="493" spans="5:6" x14ac:dyDescent="0.15">
      <c r="E493">
        <f t="shared" si="7"/>
        <v>0</v>
      </c>
      <c r="F493" s="51">
        <v>10</v>
      </c>
    </row>
    <row r="494" spans="5:6" x14ac:dyDescent="0.15">
      <c r="E494">
        <f t="shared" si="7"/>
        <v>0</v>
      </c>
      <c r="F494" s="51">
        <v>10</v>
      </c>
    </row>
    <row r="495" spans="5:6" x14ac:dyDescent="0.15">
      <c r="E495">
        <f t="shared" si="7"/>
        <v>0</v>
      </c>
      <c r="F495" s="51">
        <v>10</v>
      </c>
    </row>
    <row r="496" spans="5:6" x14ac:dyDescent="0.15">
      <c r="E496">
        <f t="shared" si="7"/>
        <v>0</v>
      </c>
      <c r="F496" s="51">
        <v>10</v>
      </c>
    </row>
    <row r="497" spans="5:6" x14ac:dyDescent="0.15">
      <c r="E497">
        <f t="shared" si="7"/>
        <v>0</v>
      </c>
      <c r="F497" s="51">
        <v>10</v>
      </c>
    </row>
    <row r="498" spans="5:6" x14ac:dyDescent="0.15">
      <c r="E498">
        <f t="shared" si="7"/>
        <v>0</v>
      </c>
      <c r="F498" s="51">
        <v>10</v>
      </c>
    </row>
    <row r="499" spans="5:6" x14ac:dyDescent="0.15">
      <c r="E499">
        <f t="shared" si="7"/>
        <v>0</v>
      </c>
      <c r="F499" s="51">
        <v>10</v>
      </c>
    </row>
    <row r="500" spans="5:6" x14ac:dyDescent="0.15">
      <c r="E500">
        <f t="shared" si="7"/>
        <v>0</v>
      </c>
      <c r="F500" s="51">
        <v>10</v>
      </c>
    </row>
    <row r="501" spans="5:6" x14ac:dyDescent="0.15">
      <c r="E501">
        <f t="shared" si="7"/>
        <v>0</v>
      </c>
      <c r="F501" s="51">
        <v>10</v>
      </c>
    </row>
    <row r="502" spans="5:6" x14ac:dyDescent="0.15">
      <c r="E502">
        <f t="shared" si="7"/>
        <v>0</v>
      </c>
      <c r="F502" s="51">
        <v>10</v>
      </c>
    </row>
    <row r="503" spans="5:6" x14ac:dyDescent="0.15">
      <c r="E503">
        <f t="shared" si="7"/>
        <v>0</v>
      </c>
      <c r="F503" s="51">
        <v>10</v>
      </c>
    </row>
    <row r="504" spans="5:6" x14ac:dyDescent="0.15">
      <c r="E504">
        <f t="shared" si="7"/>
        <v>0</v>
      </c>
      <c r="F504" s="51">
        <v>10</v>
      </c>
    </row>
    <row r="505" spans="5:6" x14ac:dyDescent="0.15">
      <c r="E505">
        <f t="shared" si="7"/>
        <v>0</v>
      </c>
      <c r="F505" s="51">
        <v>10</v>
      </c>
    </row>
    <row r="506" spans="5:6" x14ac:dyDescent="0.15">
      <c r="E506">
        <f t="shared" si="7"/>
        <v>0</v>
      </c>
      <c r="F506" s="51">
        <v>10</v>
      </c>
    </row>
    <row r="507" spans="5:6" x14ac:dyDescent="0.15">
      <c r="E507">
        <f t="shared" si="7"/>
        <v>0</v>
      </c>
      <c r="F507" s="51">
        <v>10</v>
      </c>
    </row>
    <row r="508" spans="5:6" x14ac:dyDescent="0.15">
      <c r="E508">
        <f t="shared" si="7"/>
        <v>0</v>
      </c>
      <c r="F508" s="51">
        <v>10</v>
      </c>
    </row>
    <row r="509" spans="5:6" x14ac:dyDescent="0.15">
      <c r="E509">
        <f t="shared" si="7"/>
        <v>0</v>
      </c>
      <c r="F509" s="51">
        <v>10</v>
      </c>
    </row>
    <row r="510" spans="5:6" x14ac:dyDescent="0.15">
      <c r="E510">
        <f t="shared" si="7"/>
        <v>0</v>
      </c>
      <c r="F510" s="51">
        <v>10</v>
      </c>
    </row>
    <row r="511" spans="5:6" x14ac:dyDescent="0.15">
      <c r="E511">
        <f t="shared" si="7"/>
        <v>0</v>
      </c>
      <c r="F511" s="51">
        <v>10</v>
      </c>
    </row>
    <row r="512" spans="5:6" x14ac:dyDescent="0.15">
      <c r="E512">
        <f t="shared" si="7"/>
        <v>0</v>
      </c>
      <c r="F512" s="51">
        <v>10</v>
      </c>
    </row>
    <row r="513" spans="5:6" x14ac:dyDescent="0.15">
      <c r="E513">
        <f t="shared" si="7"/>
        <v>0</v>
      </c>
      <c r="F513" s="51">
        <v>10</v>
      </c>
    </row>
    <row r="514" spans="5:6" x14ac:dyDescent="0.15">
      <c r="E514">
        <f t="shared" si="7"/>
        <v>0</v>
      </c>
      <c r="F514" s="51">
        <v>10</v>
      </c>
    </row>
    <row r="515" spans="5:6" x14ac:dyDescent="0.15">
      <c r="E515">
        <f t="shared" si="7"/>
        <v>0</v>
      </c>
      <c r="F515" s="51">
        <v>10</v>
      </c>
    </row>
    <row r="516" spans="5:6" x14ac:dyDescent="0.15">
      <c r="E516">
        <f t="shared" ref="E516:E579" si="8">D516*F515%+D516</f>
        <v>0</v>
      </c>
      <c r="F516" s="51">
        <v>10</v>
      </c>
    </row>
    <row r="517" spans="5:6" x14ac:dyDescent="0.15">
      <c r="E517">
        <f t="shared" si="8"/>
        <v>0</v>
      </c>
      <c r="F517" s="51">
        <v>10</v>
      </c>
    </row>
    <row r="518" spans="5:6" x14ac:dyDescent="0.15">
      <c r="E518">
        <f t="shared" si="8"/>
        <v>0</v>
      </c>
      <c r="F518" s="51">
        <v>10</v>
      </c>
    </row>
    <row r="519" spans="5:6" x14ac:dyDescent="0.15">
      <c r="E519">
        <f t="shared" si="8"/>
        <v>0</v>
      </c>
      <c r="F519" s="51">
        <v>10</v>
      </c>
    </row>
    <row r="520" spans="5:6" x14ac:dyDescent="0.15">
      <c r="E520">
        <f t="shared" si="8"/>
        <v>0</v>
      </c>
      <c r="F520" s="51">
        <v>10</v>
      </c>
    </row>
    <row r="521" spans="5:6" x14ac:dyDescent="0.15">
      <c r="E521">
        <f t="shared" si="8"/>
        <v>0</v>
      </c>
      <c r="F521" s="51">
        <v>10</v>
      </c>
    </row>
    <row r="522" spans="5:6" x14ac:dyDescent="0.15">
      <c r="E522">
        <f t="shared" si="8"/>
        <v>0</v>
      </c>
      <c r="F522" s="51">
        <v>10</v>
      </c>
    </row>
    <row r="523" spans="5:6" x14ac:dyDescent="0.15">
      <c r="E523">
        <f t="shared" si="8"/>
        <v>0</v>
      </c>
      <c r="F523" s="51">
        <v>10</v>
      </c>
    </row>
    <row r="524" spans="5:6" x14ac:dyDescent="0.15">
      <c r="E524">
        <f t="shared" si="8"/>
        <v>0</v>
      </c>
      <c r="F524" s="51">
        <v>10</v>
      </c>
    </row>
    <row r="525" spans="5:6" x14ac:dyDescent="0.15">
      <c r="E525">
        <f t="shared" si="8"/>
        <v>0</v>
      </c>
      <c r="F525" s="51">
        <v>10</v>
      </c>
    </row>
    <row r="526" spans="5:6" x14ac:dyDescent="0.15">
      <c r="E526">
        <f t="shared" si="8"/>
        <v>0</v>
      </c>
      <c r="F526" s="51">
        <v>10</v>
      </c>
    </row>
    <row r="527" spans="5:6" x14ac:dyDescent="0.15">
      <c r="E527">
        <f t="shared" si="8"/>
        <v>0</v>
      </c>
      <c r="F527" s="51">
        <v>10</v>
      </c>
    </row>
    <row r="528" spans="5:6" x14ac:dyDescent="0.15">
      <c r="E528">
        <f t="shared" si="8"/>
        <v>0</v>
      </c>
      <c r="F528" s="51">
        <v>10</v>
      </c>
    </row>
    <row r="529" spans="5:6" x14ac:dyDescent="0.15">
      <c r="E529">
        <f t="shared" si="8"/>
        <v>0</v>
      </c>
      <c r="F529" s="51">
        <v>10</v>
      </c>
    </row>
    <row r="530" spans="5:6" x14ac:dyDescent="0.15">
      <c r="E530">
        <f t="shared" si="8"/>
        <v>0</v>
      </c>
      <c r="F530" s="51">
        <v>10</v>
      </c>
    </row>
    <row r="531" spans="5:6" x14ac:dyDescent="0.15">
      <c r="E531">
        <f t="shared" si="8"/>
        <v>0</v>
      </c>
      <c r="F531" s="51">
        <v>10</v>
      </c>
    </row>
    <row r="532" spans="5:6" x14ac:dyDescent="0.15">
      <c r="E532">
        <f t="shared" si="8"/>
        <v>0</v>
      </c>
      <c r="F532" s="51">
        <v>10</v>
      </c>
    </row>
    <row r="533" spans="5:6" x14ac:dyDescent="0.15">
      <c r="E533">
        <f t="shared" si="8"/>
        <v>0</v>
      </c>
      <c r="F533" s="51">
        <v>10</v>
      </c>
    </row>
    <row r="534" spans="5:6" x14ac:dyDescent="0.15">
      <c r="E534">
        <f t="shared" si="8"/>
        <v>0</v>
      </c>
      <c r="F534" s="51">
        <v>10</v>
      </c>
    </row>
    <row r="535" spans="5:6" x14ac:dyDescent="0.15">
      <c r="E535">
        <f t="shared" si="8"/>
        <v>0</v>
      </c>
      <c r="F535" s="51">
        <v>10</v>
      </c>
    </row>
    <row r="536" spans="5:6" x14ac:dyDescent="0.15">
      <c r="E536">
        <f t="shared" si="8"/>
        <v>0</v>
      </c>
      <c r="F536" s="51">
        <v>10</v>
      </c>
    </row>
    <row r="537" spans="5:6" x14ac:dyDescent="0.15">
      <c r="E537">
        <f t="shared" si="8"/>
        <v>0</v>
      </c>
      <c r="F537" s="51">
        <v>10</v>
      </c>
    </row>
    <row r="538" spans="5:6" x14ac:dyDescent="0.15">
      <c r="E538">
        <f t="shared" si="8"/>
        <v>0</v>
      </c>
      <c r="F538" s="51">
        <v>10</v>
      </c>
    </row>
    <row r="539" spans="5:6" x14ac:dyDescent="0.15">
      <c r="E539">
        <f t="shared" si="8"/>
        <v>0</v>
      </c>
      <c r="F539" s="51">
        <v>10</v>
      </c>
    </row>
    <row r="540" spans="5:6" x14ac:dyDescent="0.15">
      <c r="E540">
        <f t="shared" si="8"/>
        <v>0</v>
      </c>
      <c r="F540" s="51">
        <v>10</v>
      </c>
    </row>
    <row r="541" spans="5:6" x14ac:dyDescent="0.15">
      <c r="E541">
        <f t="shared" si="8"/>
        <v>0</v>
      </c>
      <c r="F541" s="51">
        <v>10</v>
      </c>
    </row>
    <row r="542" spans="5:6" x14ac:dyDescent="0.15">
      <c r="E542">
        <f t="shared" si="8"/>
        <v>0</v>
      </c>
      <c r="F542" s="51">
        <v>10</v>
      </c>
    </row>
    <row r="543" spans="5:6" x14ac:dyDescent="0.15">
      <c r="E543">
        <f t="shared" si="8"/>
        <v>0</v>
      </c>
      <c r="F543" s="51">
        <v>10</v>
      </c>
    </row>
    <row r="544" spans="5:6" x14ac:dyDescent="0.15">
      <c r="E544">
        <f t="shared" si="8"/>
        <v>0</v>
      </c>
      <c r="F544" s="51">
        <v>10</v>
      </c>
    </row>
    <row r="545" spans="5:6" x14ac:dyDescent="0.15">
      <c r="E545">
        <f t="shared" si="8"/>
        <v>0</v>
      </c>
      <c r="F545" s="51">
        <v>10</v>
      </c>
    </row>
    <row r="546" spans="5:6" x14ac:dyDescent="0.15">
      <c r="E546">
        <f t="shared" si="8"/>
        <v>0</v>
      </c>
      <c r="F546" s="51">
        <v>10</v>
      </c>
    </row>
    <row r="547" spans="5:6" x14ac:dyDescent="0.15">
      <c r="E547">
        <f t="shared" si="8"/>
        <v>0</v>
      </c>
      <c r="F547" s="51">
        <v>10</v>
      </c>
    </row>
    <row r="548" spans="5:6" x14ac:dyDescent="0.15">
      <c r="E548">
        <f t="shared" si="8"/>
        <v>0</v>
      </c>
      <c r="F548" s="51">
        <v>10</v>
      </c>
    </row>
    <row r="549" spans="5:6" x14ac:dyDescent="0.15">
      <c r="E549">
        <f t="shared" si="8"/>
        <v>0</v>
      </c>
      <c r="F549" s="51">
        <v>10</v>
      </c>
    </row>
    <row r="550" spans="5:6" x14ac:dyDescent="0.15">
      <c r="E550">
        <f t="shared" si="8"/>
        <v>0</v>
      </c>
      <c r="F550" s="51">
        <v>10</v>
      </c>
    </row>
    <row r="551" spans="5:6" x14ac:dyDescent="0.15">
      <c r="E551">
        <f t="shared" si="8"/>
        <v>0</v>
      </c>
      <c r="F551" s="51">
        <v>10</v>
      </c>
    </row>
    <row r="552" spans="5:6" x14ac:dyDescent="0.15">
      <c r="E552">
        <f t="shared" si="8"/>
        <v>0</v>
      </c>
      <c r="F552" s="51">
        <v>10</v>
      </c>
    </row>
    <row r="553" spans="5:6" x14ac:dyDescent="0.15">
      <c r="E553">
        <f t="shared" si="8"/>
        <v>0</v>
      </c>
      <c r="F553" s="51">
        <v>10</v>
      </c>
    </row>
    <row r="554" spans="5:6" x14ac:dyDescent="0.15">
      <c r="E554">
        <f t="shared" si="8"/>
        <v>0</v>
      </c>
      <c r="F554" s="51">
        <v>10</v>
      </c>
    </row>
    <row r="555" spans="5:6" x14ac:dyDescent="0.15">
      <c r="E555">
        <f t="shared" si="8"/>
        <v>0</v>
      </c>
      <c r="F555" s="51">
        <v>10</v>
      </c>
    </row>
    <row r="556" spans="5:6" x14ac:dyDescent="0.15">
      <c r="E556">
        <f t="shared" si="8"/>
        <v>0</v>
      </c>
      <c r="F556" s="51">
        <v>10</v>
      </c>
    </row>
    <row r="557" spans="5:6" x14ac:dyDescent="0.15">
      <c r="E557">
        <f t="shared" si="8"/>
        <v>0</v>
      </c>
      <c r="F557" s="51">
        <v>10</v>
      </c>
    </row>
    <row r="558" spans="5:6" x14ac:dyDescent="0.15">
      <c r="E558">
        <f t="shared" si="8"/>
        <v>0</v>
      </c>
      <c r="F558" s="51">
        <v>10</v>
      </c>
    </row>
    <row r="559" spans="5:6" x14ac:dyDescent="0.15">
      <c r="E559">
        <f t="shared" si="8"/>
        <v>0</v>
      </c>
      <c r="F559" s="51">
        <v>10</v>
      </c>
    </row>
    <row r="560" spans="5:6" x14ac:dyDescent="0.15">
      <c r="E560">
        <f t="shared" si="8"/>
        <v>0</v>
      </c>
      <c r="F560" s="51">
        <v>10</v>
      </c>
    </row>
    <row r="561" spans="5:6" x14ac:dyDescent="0.15">
      <c r="E561">
        <f t="shared" si="8"/>
        <v>0</v>
      </c>
      <c r="F561" s="51">
        <v>10</v>
      </c>
    </row>
    <row r="562" spans="5:6" x14ac:dyDescent="0.15">
      <c r="E562">
        <f t="shared" si="8"/>
        <v>0</v>
      </c>
      <c r="F562" s="51">
        <v>10</v>
      </c>
    </row>
    <row r="563" spans="5:6" x14ac:dyDescent="0.15">
      <c r="E563">
        <f t="shared" si="8"/>
        <v>0</v>
      </c>
      <c r="F563" s="51">
        <v>10</v>
      </c>
    </row>
    <row r="564" spans="5:6" x14ac:dyDescent="0.15">
      <c r="E564">
        <f t="shared" si="8"/>
        <v>0</v>
      </c>
      <c r="F564" s="51">
        <v>10</v>
      </c>
    </row>
    <row r="565" spans="5:6" x14ac:dyDescent="0.15">
      <c r="E565">
        <f t="shared" si="8"/>
        <v>0</v>
      </c>
      <c r="F565" s="51">
        <v>10</v>
      </c>
    </row>
    <row r="566" spans="5:6" x14ac:dyDescent="0.15">
      <c r="E566">
        <f t="shared" si="8"/>
        <v>0</v>
      </c>
      <c r="F566" s="51">
        <v>10</v>
      </c>
    </row>
    <row r="567" spans="5:6" x14ac:dyDescent="0.15">
      <c r="E567">
        <f t="shared" si="8"/>
        <v>0</v>
      </c>
      <c r="F567" s="51">
        <v>10</v>
      </c>
    </row>
    <row r="568" spans="5:6" x14ac:dyDescent="0.15">
      <c r="E568">
        <f t="shared" si="8"/>
        <v>0</v>
      </c>
      <c r="F568" s="51">
        <v>10</v>
      </c>
    </row>
    <row r="569" spans="5:6" x14ac:dyDescent="0.15">
      <c r="E569">
        <f t="shared" si="8"/>
        <v>0</v>
      </c>
      <c r="F569" s="51">
        <v>10</v>
      </c>
    </row>
    <row r="570" spans="5:6" x14ac:dyDescent="0.15">
      <c r="E570">
        <f t="shared" si="8"/>
        <v>0</v>
      </c>
      <c r="F570" s="51">
        <v>10</v>
      </c>
    </row>
    <row r="571" spans="5:6" x14ac:dyDescent="0.15">
      <c r="E571">
        <f t="shared" si="8"/>
        <v>0</v>
      </c>
      <c r="F571" s="51">
        <v>10</v>
      </c>
    </row>
    <row r="572" spans="5:6" x14ac:dyDescent="0.15">
      <c r="E572">
        <f t="shared" si="8"/>
        <v>0</v>
      </c>
      <c r="F572" s="51">
        <v>10</v>
      </c>
    </row>
    <row r="573" spans="5:6" x14ac:dyDescent="0.15">
      <c r="E573">
        <f t="shared" si="8"/>
        <v>0</v>
      </c>
      <c r="F573" s="51">
        <v>10</v>
      </c>
    </row>
    <row r="574" spans="5:6" x14ac:dyDescent="0.15">
      <c r="E574">
        <f t="shared" si="8"/>
        <v>0</v>
      </c>
      <c r="F574" s="51">
        <v>10</v>
      </c>
    </row>
    <row r="575" spans="5:6" x14ac:dyDescent="0.15">
      <c r="E575">
        <f t="shared" si="8"/>
        <v>0</v>
      </c>
      <c r="F575" s="51">
        <v>10</v>
      </c>
    </row>
    <row r="576" spans="5:6" x14ac:dyDescent="0.15">
      <c r="E576">
        <f t="shared" si="8"/>
        <v>0</v>
      </c>
      <c r="F576" s="51">
        <v>10</v>
      </c>
    </row>
    <row r="577" spans="5:6" x14ac:dyDescent="0.15">
      <c r="E577">
        <f t="shared" si="8"/>
        <v>0</v>
      </c>
      <c r="F577" s="51">
        <v>10</v>
      </c>
    </row>
    <row r="578" spans="5:6" x14ac:dyDescent="0.15">
      <c r="E578">
        <f t="shared" si="8"/>
        <v>0</v>
      </c>
      <c r="F578" s="51">
        <v>10</v>
      </c>
    </row>
    <row r="579" spans="5:6" x14ac:dyDescent="0.15">
      <c r="E579">
        <f t="shared" si="8"/>
        <v>0</v>
      </c>
      <c r="F579" s="51">
        <v>10</v>
      </c>
    </row>
    <row r="580" spans="5:6" x14ac:dyDescent="0.15">
      <c r="E580">
        <f t="shared" ref="E580:E643" si="9">D580*F579%+D580</f>
        <v>0</v>
      </c>
      <c r="F580" s="51">
        <v>10</v>
      </c>
    </row>
    <row r="581" spans="5:6" x14ac:dyDescent="0.15">
      <c r="E581">
        <f t="shared" si="9"/>
        <v>0</v>
      </c>
      <c r="F581" s="51">
        <v>10</v>
      </c>
    </row>
    <row r="582" spans="5:6" x14ac:dyDescent="0.15">
      <c r="E582">
        <f t="shared" si="9"/>
        <v>0</v>
      </c>
      <c r="F582" s="51">
        <v>10</v>
      </c>
    </row>
    <row r="583" spans="5:6" x14ac:dyDescent="0.15">
      <c r="E583">
        <f t="shared" si="9"/>
        <v>0</v>
      </c>
      <c r="F583" s="51">
        <v>10</v>
      </c>
    </row>
    <row r="584" spans="5:6" x14ac:dyDescent="0.15">
      <c r="E584">
        <f t="shared" si="9"/>
        <v>0</v>
      </c>
      <c r="F584" s="51">
        <v>10</v>
      </c>
    </row>
    <row r="585" spans="5:6" x14ac:dyDescent="0.15">
      <c r="E585">
        <f t="shared" si="9"/>
        <v>0</v>
      </c>
      <c r="F585" s="51">
        <v>10</v>
      </c>
    </row>
    <row r="586" spans="5:6" x14ac:dyDescent="0.15">
      <c r="E586">
        <f t="shared" si="9"/>
        <v>0</v>
      </c>
      <c r="F586" s="51">
        <v>10</v>
      </c>
    </row>
    <row r="587" spans="5:6" x14ac:dyDescent="0.15">
      <c r="E587">
        <f t="shared" si="9"/>
        <v>0</v>
      </c>
      <c r="F587" s="51">
        <v>10</v>
      </c>
    </row>
    <row r="588" spans="5:6" x14ac:dyDescent="0.15">
      <c r="E588">
        <f t="shared" si="9"/>
        <v>0</v>
      </c>
      <c r="F588" s="51">
        <v>10</v>
      </c>
    </row>
    <row r="589" spans="5:6" x14ac:dyDescent="0.15">
      <c r="E589">
        <f t="shared" si="9"/>
        <v>0</v>
      </c>
      <c r="F589" s="51">
        <v>10</v>
      </c>
    </row>
    <row r="590" spans="5:6" x14ac:dyDescent="0.15">
      <c r="E590">
        <f t="shared" si="9"/>
        <v>0</v>
      </c>
      <c r="F590" s="51">
        <v>10</v>
      </c>
    </row>
    <row r="591" spans="5:6" x14ac:dyDescent="0.15">
      <c r="E591">
        <f t="shared" si="9"/>
        <v>0</v>
      </c>
      <c r="F591" s="51">
        <v>10</v>
      </c>
    </row>
    <row r="592" spans="5:6" x14ac:dyDescent="0.15">
      <c r="E592">
        <f t="shared" si="9"/>
        <v>0</v>
      </c>
      <c r="F592" s="51">
        <v>10</v>
      </c>
    </row>
    <row r="593" spans="5:6" x14ac:dyDescent="0.15">
      <c r="E593">
        <f t="shared" si="9"/>
        <v>0</v>
      </c>
      <c r="F593" s="51">
        <v>10</v>
      </c>
    </row>
    <row r="594" spans="5:6" x14ac:dyDescent="0.15">
      <c r="E594">
        <f t="shared" si="9"/>
        <v>0</v>
      </c>
      <c r="F594" s="51">
        <v>10</v>
      </c>
    </row>
    <row r="595" spans="5:6" x14ac:dyDescent="0.15">
      <c r="E595">
        <f t="shared" si="9"/>
        <v>0</v>
      </c>
      <c r="F595" s="51">
        <v>10</v>
      </c>
    </row>
    <row r="596" spans="5:6" x14ac:dyDescent="0.15">
      <c r="E596">
        <f t="shared" si="9"/>
        <v>0</v>
      </c>
      <c r="F596" s="51">
        <v>10</v>
      </c>
    </row>
    <row r="597" spans="5:6" x14ac:dyDescent="0.15">
      <c r="E597">
        <f t="shared" si="9"/>
        <v>0</v>
      </c>
      <c r="F597" s="51">
        <v>10</v>
      </c>
    </row>
    <row r="598" spans="5:6" x14ac:dyDescent="0.15">
      <c r="E598">
        <f t="shared" si="9"/>
        <v>0</v>
      </c>
      <c r="F598" s="51">
        <v>10</v>
      </c>
    </row>
    <row r="599" spans="5:6" x14ac:dyDescent="0.15">
      <c r="E599">
        <f t="shared" si="9"/>
        <v>0</v>
      </c>
      <c r="F599" s="51">
        <v>10</v>
      </c>
    </row>
    <row r="600" spans="5:6" x14ac:dyDescent="0.15">
      <c r="E600">
        <f t="shared" si="9"/>
        <v>0</v>
      </c>
      <c r="F600" s="51">
        <v>10</v>
      </c>
    </row>
    <row r="601" spans="5:6" x14ac:dyDescent="0.15">
      <c r="E601">
        <f t="shared" si="9"/>
        <v>0</v>
      </c>
      <c r="F601" s="51">
        <v>10</v>
      </c>
    </row>
    <row r="602" spans="5:6" x14ac:dyDescent="0.15">
      <c r="E602">
        <f t="shared" si="9"/>
        <v>0</v>
      </c>
      <c r="F602" s="51">
        <v>10</v>
      </c>
    </row>
    <row r="603" spans="5:6" x14ac:dyDescent="0.15">
      <c r="E603">
        <f t="shared" si="9"/>
        <v>0</v>
      </c>
      <c r="F603" s="51">
        <v>10</v>
      </c>
    </row>
    <row r="604" spans="5:6" x14ac:dyDescent="0.15">
      <c r="E604">
        <f t="shared" si="9"/>
        <v>0</v>
      </c>
      <c r="F604" s="51">
        <v>10</v>
      </c>
    </row>
    <row r="605" spans="5:6" x14ac:dyDescent="0.15">
      <c r="E605">
        <f t="shared" si="9"/>
        <v>0</v>
      </c>
      <c r="F605" s="51">
        <v>10</v>
      </c>
    </row>
    <row r="606" spans="5:6" x14ac:dyDescent="0.15">
      <c r="E606">
        <f t="shared" si="9"/>
        <v>0</v>
      </c>
      <c r="F606" s="51">
        <v>10</v>
      </c>
    </row>
    <row r="607" spans="5:6" x14ac:dyDescent="0.15">
      <c r="E607">
        <f t="shared" si="9"/>
        <v>0</v>
      </c>
      <c r="F607" s="51">
        <v>10</v>
      </c>
    </row>
    <row r="608" spans="5:6" x14ac:dyDescent="0.15">
      <c r="E608">
        <f t="shared" si="9"/>
        <v>0</v>
      </c>
      <c r="F608" s="51">
        <v>10</v>
      </c>
    </row>
    <row r="609" spans="5:6" x14ac:dyDescent="0.15">
      <c r="E609">
        <f t="shared" si="9"/>
        <v>0</v>
      </c>
      <c r="F609" s="51">
        <v>10</v>
      </c>
    </row>
    <row r="610" spans="5:6" x14ac:dyDescent="0.15">
      <c r="E610">
        <f t="shared" si="9"/>
        <v>0</v>
      </c>
      <c r="F610" s="51">
        <v>10</v>
      </c>
    </row>
    <row r="611" spans="5:6" x14ac:dyDescent="0.15">
      <c r="E611">
        <f t="shared" si="9"/>
        <v>0</v>
      </c>
      <c r="F611" s="51">
        <v>10</v>
      </c>
    </row>
    <row r="612" spans="5:6" x14ac:dyDescent="0.15">
      <c r="E612">
        <f t="shared" si="9"/>
        <v>0</v>
      </c>
      <c r="F612" s="51">
        <v>10</v>
      </c>
    </row>
    <row r="613" spans="5:6" x14ac:dyDescent="0.15">
      <c r="E613">
        <f t="shared" si="9"/>
        <v>0</v>
      </c>
      <c r="F613" s="51">
        <v>10</v>
      </c>
    </row>
    <row r="614" spans="5:6" x14ac:dyDescent="0.15">
      <c r="E614">
        <f t="shared" si="9"/>
        <v>0</v>
      </c>
      <c r="F614" s="51">
        <v>10</v>
      </c>
    </row>
    <row r="615" spans="5:6" x14ac:dyDescent="0.15">
      <c r="E615">
        <f t="shared" si="9"/>
        <v>0</v>
      </c>
      <c r="F615" s="51">
        <v>10</v>
      </c>
    </row>
    <row r="616" spans="5:6" x14ac:dyDescent="0.15">
      <c r="E616">
        <f t="shared" si="9"/>
        <v>0</v>
      </c>
      <c r="F616" s="51">
        <v>10</v>
      </c>
    </row>
    <row r="617" spans="5:6" x14ac:dyDescent="0.15">
      <c r="E617">
        <f t="shared" si="9"/>
        <v>0</v>
      </c>
      <c r="F617" s="51">
        <v>10</v>
      </c>
    </row>
    <row r="618" spans="5:6" x14ac:dyDescent="0.15">
      <c r="E618">
        <f t="shared" si="9"/>
        <v>0</v>
      </c>
      <c r="F618" s="51">
        <v>10</v>
      </c>
    </row>
    <row r="619" spans="5:6" x14ac:dyDescent="0.15">
      <c r="E619">
        <f t="shared" si="9"/>
        <v>0</v>
      </c>
      <c r="F619" s="51">
        <v>10</v>
      </c>
    </row>
    <row r="620" spans="5:6" x14ac:dyDescent="0.15">
      <c r="E620">
        <f t="shared" si="9"/>
        <v>0</v>
      </c>
      <c r="F620" s="51">
        <v>10</v>
      </c>
    </row>
    <row r="621" spans="5:6" x14ac:dyDescent="0.15">
      <c r="E621">
        <f t="shared" si="9"/>
        <v>0</v>
      </c>
      <c r="F621" s="51">
        <v>10</v>
      </c>
    </row>
    <row r="622" spans="5:6" x14ac:dyDescent="0.15">
      <c r="E622">
        <f t="shared" si="9"/>
        <v>0</v>
      </c>
      <c r="F622" s="51">
        <v>10</v>
      </c>
    </row>
    <row r="623" spans="5:6" x14ac:dyDescent="0.15">
      <c r="E623">
        <f t="shared" si="9"/>
        <v>0</v>
      </c>
      <c r="F623" s="51">
        <v>10</v>
      </c>
    </row>
    <row r="624" spans="5:6" x14ac:dyDescent="0.15">
      <c r="E624">
        <f t="shared" si="9"/>
        <v>0</v>
      </c>
      <c r="F624" s="51">
        <v>10</v>
      </c>
    </row>
    <row r="625" spans="5:6" x14ac:dyDescent="0.15">
      <c r="E625">
        <f t="shared" si="9"/>
        <v>0</v>
      </c>
      <c r="F625" s="51">
        <v>10</v>
      </c>
    </row>
    <row r="626" spans="5:6" x14ac:dyDescent="0.15">
      <c r="E626">
        <f t="shared" si="9"/>
        <v>0</v>
      </c>
      <c r="F626" s="51">
        <v>10</v>
      </c>
    </row>
    <row r="627" spans="5:6" x14ac:dyDescent="0.15">
      <c r="E627">
        <f t="shared" si="9"/>
        <v>0</v>
      </c>
      <c r="F627" s="51">
        <v>10</v>
      </c>
    </row>
    <row r="628" spans="5:6" x14ac:dyDescent="0.15">
      <c r="E628">
        <f t="shared" si="9"/>
        <v>0</v>
      </c>
      <c r="F628" s="51">
        <v>10</v>
      </c>
    </row>
    <row r="629" spans="5:6" x14ac:dyDescent="0.15">
      <c r="E629">
        <f t="shared" si="9"/>
        <v>0</v>
      </c>
      <c r="F629" s="51">
        <v>10</v>
      </c>
    </row>
    <row r="630" spans="5:6" x14ac:dyDescent="0.15">
      <c r="E630">
        <f t="shared" si="9"/>
        <v>0</v>
      </c>
      <c r="F630" s="51">
        <v>10</v>
      </c>
    </row>
    <row r="631" spans="5:6" x14ac:dyDescent="0.15">
      <c r="E631">
        <f t="shared" si="9"/>
        <v>0</v>
      </c>
      <c r="F631" s="51">
        <v>10</v>
      </c>
    </row>
    <row r="632" spans="5:6" x14ac:dyDescent="0.15">
      <c r="E632">
        <f t="shared" si="9"/>
        <v>0</v>
      </c>
      <c r="F632" s="51">
        <v>10</v>
      </c>
    </row>
    <row r="633" spans="5:6" x14ac:dyDescent="0.15">
      <c r="E633">
        <f t="shared" si="9"/>
        <v>0</v>
      </c>
      <c r="F633" s="51">
        <v>10</v>
      </c>
    </row>
    <row r="634" spans="5:6" x14ac:dyDescent="0.15">
      <c r="E634">
        <f t="shared" si="9"/>
        <v>0</v>
      </c>
      <c r="F634" s="51">
        <v>10</v>
      </c>
    </row>
    <row r="635" spans="5:6" x14ac:dyDescent="0.15">
      <c r="E635">
        <f t="shared" si="9"/>
        <v>0</v>
      </c>
      <c r="F635" s="51">
        <v>10</v>
      </c>
    </row>
    <row r="636" spans="5:6" x14ac:dyDescent="0.15">
      <c r="E636">
        <f t="shared" si="9"/>
        <v>0</v>
      </c>
      <c r="F636" s="51">
        <v>10</v>
      </c>
    </row>
    <row r="637" spans="5:6" x14ac:dyDescent="0.15">
      <c r="E637">
        <f t="shared" si="9"/>
        <v>0</v>
      </c>
      <c r="F637" s="51">
        <v>10</v>
      </c>
    </row>
    <row r="638" spans="5:6" x14ac:dyDescent="0.15">
      <c r="E638">
        <f t="shared" si="9"/>
        <v>0</v>
      </c>
      <c r="F638" s="51">
        <v>10</v>
      </c>
    </row>
    <row r="639" spans="5:6" x14ac:dyDescent="0.15">
      <c r="E639">
        <f t="shared" si="9"/>
        <v>0</v>
      </c>
      <c r="F639" s="51">
        <v>10</v>
      </c>
    </row>
    <row r="640" spans="5:6" x14ac:dyDescent="0.15">
      <c r="E640">
        <f t="shared" si="9"/>
        <v>0</v>
      </c>
      <c r="F640" s="51">
        <v>10</v>
      </c>
    </row>
    <row r="641" spans="5:6" x14ac:dyDescent="0.15">
      <c r="E641">
        <f t="shared" si="9"/>
        <v>0</v>
      </c>
      <c r="F641" s="51">
        <v>10</v>
      </c>
    </row>
    <row r="642" spans="5:6" x14ac:dyDescent="0.15">
      <c r="E642">
        <f t="shared" si="9"/>
        <v>0</v>
      </c>
      <c r="F642" s="51">
        <v>10</v>
      </c>
    </row>
    <row r="643" spans="5:6" x14ac:dyDescent="0.15">
      <c r="E643">
        <f t="shared" si="9"/>
        <v>0</v>
      </c>
      <c r="F643" s="51">
        <v>10</v>
      </c>
    </row>
    <row r="644" spans="5:6" x14ac:dyDescent="0.15">
      <c r="E644">
        <f t="shared" ref="E644:E707" si="10">D644*F643%+D644</f>
        <v>0</v>
      </c>
      <c r="F644" s="51">
        <v>10</v>
      </c>
    </row>
    <row r="645" spans="5:6" x14ac:dyDescent="0.15">
      <c r="E645">
        <f t="shared" si="10"/>
        <v>0</v>
      </c>
      <c r="F645" s="51">
        <v>10</v>
      </c>
    </row>
    <row r="646" spans="5:6" x14ac:dyDescent="0.15">
      <c r="E646">
        <f t="shared" si="10"/>
        <v>0</v>
      </c>
      <c r="F646" s="51">
        <v>10</v>
      </c>
    </row>
    <row r="647" spans="5:6" x14ac:dyDescent="0.15">
      <c r="E647">
        <f t="shared" si="10"/>
        <v>0</v>
      </c>
      <c r="F647" s="51">
        <v>10</v>
      </c>
    </row>
    <row r="648" spans="5:6" x14ac:dyDescent="0.15">
      <c r="E648">
        <f t="shared" si="10"/>
        <v>0</v>
      </c>
      <c r="F648" s="51">
        <v>10</v>
      </c>
    </row>
    <row r="649" spans="5:6" x14ac:dyDescent="0.15">
      <c r="E649">
        <f t="shared" si="10"/>
        <v>0</v>
      </c>
      <c r="F649" s="51">
        <v>10</v>
      </c>
    </row>
    <row r="650" spans="5:6" x14ac:dyDescent="0.15">
      <c r="E650">
        <f t="shared" si="10"/>
        <v>0</v>
      </c>
      <c r="F650" s="51">
        <v>10</v>
      </c>
    </row>
    <row r="651" spans="5:6" x14ac:dyDescent="0.15">
      <c r="E651">
        <f t="shared" si="10"/>
        <v>0</v>
      </c>
      <c r="F651" s="51">
        <v>10</v>
      </c>
    </row>
    <row r="652" spans="5:6" x14ac:dyDescent="0.15">
      <c r="E652">
        <f t="shared" si="10"/>
        <v>0</v>
      </c>
      <c r="F652" s="51">
        <v>10</v>
      </c>
    </row>
    <row r="653" spans="5:6" x14ac:dyDescent="0.15">
      <c r="E653">
        <f t="shared" si="10"/>
        <v>0</v>
      </c>
      <c r="F653" s="51">
        <v>10</v>
      </c>
    </row>
    <row r="654" spans="5:6" x14ac:dyDescent="0.15">
      <c r="E654">
        <f t="shared" si="10"/>
        <v>0</v>
      </c>
      <c r="F654" s="51">
        <v>10</v>
      </c>
    </row>
    <row r="655" spans="5:6" x14ac:dyDescent="0.15">
      <c r="E655">
        <f t="shared" si="10"/>
        <v>0</v>
      </c>
      <c r="F655" s="51">
        <v>10</v>
      </c>
    </row>
    <row r="656" spans="5:6" x14ac:dyDescent="0.15">
      <c r="E656">
        <f t="shared" si="10"/>
        <v>0</v>
      </c>
      <c r="F656" s="51">
        <v>10</v>
      </c>
    </row>
    <row r="657" spans="5:6" x14ac:dyDescent="0.15">
      <c r="E657">
        <f t="shared" si="10"/>
        <v>0</v>
      </c>
      <c r="F657" s="51">
        <v>10</v>
      </c>
    </row>
    <row r="658" spans="5:6" x14ac:dyDescent="0.15">
      <c r="E658">
        <f t="shared" si="10"/>
        <v>0</v>
      </c>
      <c r="F658" s="51">
        <v>10</v>
      </c>
    </row>
    <row r="659" spans="5:6" x14ac:dyDescent="0.15">
      <c r="E659">
        <f t="shared" si="10"/>
        <v>0</v>
      </c>
      <c r="F659" s="51">
        <v>10</v>
      </c>
    </row>
    <row r="660" spans="5:6" x14ac:dyDescent="0.15">
      <c r="E660">
        <f t="shared" si="10"/>
        <v>0</v>
      </c>
      <c r="F660" s="51">
        <v>10</v>
      </c>
    </row>
    <row r="661" spans="5:6" x14ac:dyDescent="0.15">
      <c r="E661">
        <f t="shared" si="10"/>
        <v>0</v>
      </c>
      <c r="F661" s="51">
        <v>10</v>
      </c>
    </row>
    <row r="662" spans="5:6" x14ac:dyDescent="0.15">
      <c r="E662">
        <f t="shared" si="10"/>
        <v>0</v>
      </c>
      <c r="F662" s="51">
        <v>10</v>
      </c>
    </row>
    <row r="663" spans="5:6" x14ac:dyDescent="0.15">
      <c r="E663">
        <f t="shared" si="10"/>
        <v>0</v>
      </c>
      <c r="F663" s="51">
        <v>10</v>
      </c>
    </row>
    <row r="664" spans="5:6" x14ac:dyDescent="0.15">
      <c r="E664">
        <f t="shared" si="10"/>
        <v>0</v>
      </c>
      <c r="F664" s="51">
        <v>10</v>
      </c>
    </row>
    <row r="665" spans="5:6" x14ac:dyDescent="0.15">
      <c r="E665">
        <f t="shared" si="10"/>
        <v>0</v>
      </c>
      <c r="F665" s="51">
        <v>10</v>
      </c>
    </row>
    <row r="666" spans="5:6" x14ac:dyDescent="0.15">
      <c r="E666">
        <f t="shared" si="10"/>
        <v>0</v>
      </c>
      <c r="F666" s="51">
        <v>10</v>
      </c>
    </row>
    <row r="667" spans="5:6" x14ac:dyDescent="0.15">
      <c r="E667">
        <f t="shared" si="10"/>
        <v>0</v>
      </c>
      <c r="F667" s="51">
        <v>10</v>
      </c>
    </row>
    <row r="668" spans="5:6" x14ac:dyDescent="0.15">
      <c r="E668">
        <f t="shared" si="10"/>
        <v>0</v>
      </c>
      <c r="F668" s="51">
        <v>10</v>
      </c>
    </row>
    <row r="669" spans="5:6" x14ac:dyDescent="0.15">
      <c r="E669">
        <f t="shared" si="10"/>
        <v>0</v>
      </c>
      <c r="F669" s="51">
        <v>10</v>
      </c>
    </row>
    <row r="670" spans="5:6" x14ac:dyDescent="0.15">
      <c r="E670">
        <f t="shared" si="10"/>
        <v>0</v>
      </c>
      <c r="F670" s="51">
        <v>10</v>
      </c>
    </row>
    <row r="671" spans="5:6" x14ac:dyDescent="0.15">
      <c r="E671">
        <f t="shared" si="10"/>
        <v>0</v>
      </c>
      <c r="F671" s="51">
        <v>10</v>
      </c>
    </row>
    <row r="672" spans="5:6" x14ac:dyDescent="0.15">
      <c r="E672">
        <f t="shared" si="10"/>
        <v>0</v>
      </c>
      <c r="F672" s="51">
        <v>10</v>
      </c>
    </row>
    <row r="673" spans="5:6" x14ac:dyDescent="0.15">
      <c r="E673">
        <f t="shared" si="10"/>
        <v>0</v>
      </c>
      <c r="F673" s="51">
        <v>10</v>
      </c>
    </row>
    <row r="674" spans="5:6" x14ac:dyDescent="0.15">
      <c r="E674">
        <f t="shared" si="10"/>
        <v>0</v>
      </c>
      <c r="F674" s="51">
        <v>10</v>
      </c>
    </row>
    <row r="675" spans="5:6" x14ac:dyDescent="0.15">
      <c r="E675">
        <f t="shared" si="10"/>
        <v>0</v>
      </c>
      <c r="F675" s="51">
        <v>10</v>
      </c>
    </row>
    <row r="676" spans="5:6" x14ac:dyDescent="0.15">
      <c r="E676">
        <f t="shared" si="10"/>
        <v>0</v>
      </c>
      <c r="F676" s="51">
        <v>10</v>
      </c>
    </row>
    <row r="677" spans="5:6" x14ac:dyDescent="0.15">
      <c r="E677">
        <f t="shared" si="10"/>
        <v>0</v>
      </c>
      <c r="F677" s="51">
        <v>10</v>
      </c>
    </row>
    <row r="678" spans="5:6" x14ac:dyDescent="0.15">
      <c r="E678">
        <f t="shared" si="10"/>
        <v>0</v>
      </c>
      <c r="F678" s="51">
        <v>10</v>
      </c>
    </row>
    <row r="679" spans="5:6" x14ac:dyDescent="0.15">
      <c r="E679">
        <f t="shared" si="10"/>
        <v>0</v>
      </c>
      <c r="F679" s="51">
        <v>10</v>
      </c>
    </row>
    <row r="680" spans="5:6" x14ac:dyDescent="0.15">
      <c r="E680">
        <f t="shared" si="10"/>
        <v>0</v>
      </c>
      <c r="F680" s="51">
        <v>10</v>
      </c>
    </row>
    <row r="681" spans="5:6" x14ac:dyDescent="0.15">
      <c r="E681">
        <f t="shared" si="10"/>
        <v>0</v>
      </c>
      <c r="F681" s="51">
        <v>10</v>
      </c>
    </row>
    <row r="682" spans="5:6" x14ac:dyDescent="0.15">
      <c r="E682">
        <f t="shared" si="10"/>
        <v>0</v>
      </c>
      <c r="F682" s="51">
        <v>10</v>
      </c>
    </row>
    <row r="683" spans="5:6" x14ac:dyDescent="0.15">
      <c r="E683">
        <f t="shared" si="10"/>
        <v>0</v>
      </c>
      <c r="F683" s="51">
        <v>10</v>
      </c>
    </row>
    <row r="684" spans="5:6" x14ac:dyDescent="0.15">
      <c r="E684">
        <f t="shared" si="10"/>
        <v>0</v>
      </c>
      <c r="F684" s="51">
        <v>10</v>
      </c>
    </row>
    <row r="685" spans="5:6" x14ac:dyDescent="0.15">
      <c r="E685">
        <f t="shared" si="10"/>
        <v>0</v>
      </c>
      <c r="F685" s="51">
        <v>10</v>
      </c>
    </row>
    <row r="686" spans="5:6" x14ac:dyDescent="0.15">
      <c r="E686">
        <f t="shared" si="10"/>
        <v>0</v>
      </c>
      <c r="F686" s="51">
        <v>10</v>
      </c>
    </row>
    <row r="687" spans="5:6" x14ac:dyDescent="0.15">
      <c r="E687">
        <f t="shared" si="10"/>
        <v>0</v>
      </c>
      <c r="F687" s="51">
        <v>10</v>
      </c>
    </row>
    <row r="688" spans="5:6" x14ac:dyDescent="0.15">
      <c r="E688">
        <f t="shared" si="10"/>
        <v>0</v>
      </c>
      <c r="F688" s="51">
        <v>10</v>
      </c>
    </row>
    <row r="689" spans="5:6" x14ac:dyDescent="0.15">
      <c r="E689">
        <f t="shared" si="10"/>
        <v>0</v>
      </c>
      <c r="F689" s="51">
        <v>10</v>
      </c>
    </row>
    <row r="690" spans="5:6" x14ac:dyDescent="0.15">
      <c r="E690">
        <f t="shared" si="10"/>
        <v>0</v>
      </c>
      <c r="F690" s="51">
        <v>10</v>
      </c>
    </row>
    <row r="691" spans="5:6" x14ac:dyDescent="0.15">
      <c r="E691">
        <f t="shared" si="10"/>
        <v>0</v>
      </c>
      <c r="F691" s="51">
        <v>10</v>
      </c>
    </row>
    <row r="692" spans="5:6" x14ac:dyDescent="0.15">
      <c r="E692">
        <f t="shared" si="10"/>
        <v>0</v>
      </c>
      <c r="F692" s="51">
        <v>10</v>
      </c>
    </row>
    <row r="693" spans="5:6" x14ac:dyDescent="0.15">
      <c r="E693">
        <f t="shared" si="10"/>
        <v>0</v>
      </c>
      <c r="F693" s="51">
        <v>10</v>
      </c>
    </row>
    <row r="694" spans="5:6" x14ac:dyDescent="0.15">
      <c r="E694">
        <f t="shared" si="10"/>
        <v>0</v>
      </c>
      <c r="F694" s="51">
        <v>10</v>
      </c>
    </row>
    <row r="695" spans="5:6" x14ac:dyDescent="0.15">
      <c r="E695">
        <f t="shared" si="10"/>
        <v>0</v>
      </c>
      <c r="F695" s="51">
        <v>10</v>
      </c>
    </row>
    <row r="696" spans="5:6" x14ac:dyDescent="0.15">
      <c r="E696">
        <f t="shared" si="10"/>
        <v>0</v>
      </c>
      <c r="F696" s="51">
        <v>10</v>
      </c>
    </row>
    <row r="697" spans="5:6" x14ac:dyDescent="0.15">
      <c r="E697">
        <f t="shared" si="10"/>
        <v>0</v>
      </c>
      <c r="F697" s="51">
        <v>10</v>
      </c>
    </row>
    <row r="698" spans="5:6" x14ac:dyDescent="0.15">
      <c r="E698">
        <f t="shared" si="10"/>
        <v>0</v>
      </c>
      <c r="F698" s="51">
        <v>10</v>
      </c>
    </row>
    <row r="699" spans="5:6" x14ac:dyDescent="0.15">
      <c r="E699">
        <f t="shared" si="10"/>
        <v>0</v>
      </c>
      <c r="F699" s="51">
        <v>10</v>
      </c>
    </row>
    <row r="700" spans="5:6" x14ac:dyDescent="0.15">
      <c r="E700">
        <f t="shared" si="10"/>
        <v>0</v>
      </c>
      <c r="F700" s="51">
        <v>10</v>
      </c>
    </row>
    <row r="701" spans="5:6" x14ac:dyDescent="0.15">
      <c r="E701">
        <f t="shared" si="10"/>
        <v>0</v>
      </c>
      <c r="F701" s="51">
        <v>10</v>
      </c>
    </row>
    <row r="702" spans="5:6" x14ac:dyDescent="0.15">
      <c r="E702">
        <f t="shared" si="10"/>
        <v>0</v>
      </c>
      <c r="F702" s="51">
        <v>10</v>
      </c>
    </row>
    <row r="703" spans="5:6" x14ac:dyDescent="0.15">
      <c r="E703">
        <f t="shared" si="10"/>
        <v>0</v>
      </c>
      <c r="F703" s="51">
        <v>10</v>
      </c>
    </row>
    <row r="704" spans="5:6" x14ac:dyDescent="0.15">
      <c r="E704">
        <f t="shared" si="10"/>
        <v>0</v>
      </c>
      <c r="F704" s="51">
        <v>10</v>
      </c>
    </row>
    <row r="705" spans="5:6" x14ac:dyDescent="0.15">
      <c r="E705">
        <f t="shared" si="10"/>
        <v>0</v>
      </c>
      <c r="F705" s="51">
        <v>10</v>
      </c>
    </row>
    <row r="706" spans="5:6" x14ac:dyDescent="0.15">
      <c r="E706">
        <f t="shared" si="10"/>
        <v>0</v>
      </c>
      <c r="F706" s="51">
        <v>10</v>
      </c>
    </row>
    <row r="707" spans="5:6" x14ac:dyDescent="0.15">
      <c r="E707">
        <f t="shared" si="10"/>
        <v>0</v>
      </c>
      <c r="F707" s="51">
        <v>10</v>
      </c>
    </row>
    <row r="708" spans="5:6" x14ac:dyDescent="0.15">
      <c r="E708">
        <f t="shared" ref="E708:E771" si="11">D708*F707%+D708</f>
        <v>0</v>
      </c>
      <c r="F708" s="51">
        <v>10</v>
      </c>
    </row>
    <row r="709" spans="5:6" x14ac:dyDescent="0.15">
      <c r="E709">
        <f t="shared" si="11"/>
        <v>0</v>
      </c>
      <c r="F709" s="51">
        <v>10</v>
      </c>
    </row>
    <row r="710" spans="5:6" x14ac:dyDescent="0.15">
      <c r="E710">
        <f t="shared" si="11"/>
        <v>0</v>
      </c>
      <c r="F710" s="51">
        <v>10</v>
      </c>
    </row>
    <row r="711" spans="5:6" x14ac:dyDescent="0.15">
      <c r="E711">
        <f t="shared" si="11"/>
        <v>0</v>
      </c>
      <c r="F711" s="51">
        <v>10</v>
      </c>
    </row>
    <row r="712" spans="5:6" x14ac:dyDescent="0.15">
      <c r="E712">
        <f t="shared" si="11"/>
        <v>0</v>
      </c>
      <c r="F712" s="51">
        <v>10</v>
      </c>
    </row>
    <row r="713" spans="5:6" x14ac:dyDescent="0.15">
      <c r="E713">
        <f t="shared" si="11"/>
        <v>0</v>
      </c>
      <c r="F713" s="51">
        <v>10</v>
      </c>
    </row>
    <row r="714" spans="5:6" x14ac:dyDescent="0.15">
      <c r="E714">
        <f t="shared" si="11"/>
        <v>0</v>
      </c>
      <c r="F714" s="51">
        <v>10</v>
      </c>
    </row>
    <row r="715" spans="5:6" x14ac:dyDescent="0.15">
      <c r="E715">
        <f t="shared" si="11"/>
        <v>0</v>
      </c>
      <c r="F715" s="51">
        <v>10</v>
      </c>
    </row>
    <row r="716" spans="5:6" x14ac:dyDescent="0.15">
      <c r="E716">
        <f t="shared" si="11"/>
        <v>0</v>
      </c>
      <c r="F716" s="51">
        <v>10</v>
      </c>
    </row>
    <row r="717" spans="5:6" x14ac:dyDescent="0.15">
      <c r="E717">
        <f t="shared" si="11"/>
        <v>0</v>
      </c>
      <c r="F717" s="51">
        <v>10</v>
      </c>
    </row>
    <row r="718" spans="5:6" x14ac:dyDescent="0.15">
      <c r="E718">
        <f t="shared" si="11"/>
        <v>0</v>
      </c>
      <c r="F718" s="51">
        <v>10</v>
      </c>
    </row>
    <row r="719" spans="5:6" x14ac:dyDescent="0.15">
      <c r="E719">
        <f t="shared" si="11"/>
        <v>0</v>
      </c>
      <c r="F719" s="51">
        <v>10</v>
      </c>
    </row>
    <row r="720" spans="5:6" x14ac:dyDescent="0.15">
      <c r="E720">
        <f t="shared" si="11"/>
        <v>0</v>
      </c>
      <c r="F720" s="51">
        <v>10</v>
      </c>
    </row>
    <row r="721" spans="5:6" x14ac:dyDescent="0.15">
      <c r="E721">
        <f t="shared" si="11"/>
        <v>0</v>
      </c>
      <c r="F721" s="51">
        <v>10</v>
      </c>
    </row>
    <row r="722" spans="5:6" x14ac:dyDescent="0.15">
      <c r="E722">
        <f t="shared" si="11"/>
        <v>0</v>
      </c>
      <c r="F722" s="51">
        <v>10</v>
      </c>
    </row>
    <row r="723" spans="5:6" x14ac:dyDescent="0.15">
      <c r="E723">
        <f t="shared" si="11"/>
        <v>0</v>
      </c>
      <c r="F723" s="51">
        <v>10</v>
      </c>
    </row>
    <row r="724" spans="5:6" x14ac:dyDescent="0.15">
      <c r="E724">
        <f t="shared" si="11"/>
        <v>0</v>
      </c>
      <c r="F724" s="51">
        <v>10</v>
      </c>
    </row>
    <row r="725" spans="5:6" x14ac:dyDescent="0.15">
      <c r="E725">
        <f t="shared" si="11"/>
        <v>0</v>
      </c>
      <c r="F725" s="51">
        <v>10</v>
      </c>
    </row>
    <row r="726" spans="5:6" x14ac:dyDescent="0.15">
      <c r="E726">
        <f t="shared" si="11"/>
        <v>0</v>
      </c>
      <c r="F726" s="51">
        <v>10</v>
      </c>
    </row>
    <row r="727" spans="5:6" x14ac:dyDescent="0.15">
      <c r="E727">
        <f t="shared" si="11"/>
        <v>0</v>
      </c>
      <c r="F727" s="51">
        <v>10</v>
      </c>
    </row>
    <row r="728" spans="5:6" x14ac:dyDescent="0.15">
      <c r="E728">
        <f t="shared" si="11"/>
        <v>0</v>
      </c>
      <c r="F728" s="51">
        <v>10</v>
      </c>
    </row>
    <row r="729" spans="5:6" x14ac:dyDescent="0.15">
      <c r="E729">
        <f t="shared" si="11"/>
        <v>0</v>
      </c>
      <c r="F729" s="51">
        <v>10</v>
      </c>
    </row>
    <row r="730" spans="5:6" x14ac:dyDescent="0.15">
      <c r="E730">
        <f t="shared" si="11"/>
        <v>0</v>
      </c>
      <c r="F730" s="51">
        <v>10</v>
      </c>
    </row>
    <row r="731" spans="5:6" x14ac:dyDescent="0.15">
      <c r="E731">
        <f t="shared" si="11"/>
        <v>0</v>
      </c>
      <c r="F731" s="51">
        <v>10</v>
      </c>
    </row>
    <row r="732" spans="5:6" x14ac:dyDescent="0.15">
      <c r="E732">
        <f t="shared" si="11"/>
        <v>0</v>
      </c>
      <c r="F732" s="51">
        <v>10</v>
      </c>
    </row>
    <row r="733" spans="5:6" x14ac:dyDescent="0.15">
      <c r="E733">
        <f t="shared" si="11"/>
        <v>0</v>
      </c>
      <c r="F733" s="51">
        <v>10</v>
      </c>
    </row>
    <row r="734" spans="5:6" x14ac:dyDescent="0.15">
      <c r="E734">
        <f t="shared" si="11"/>
        <v>0</v>
      </c>
      <c r="F734" s="51">
        <v>10</v>
      </c>
    </row>
    <row r="735" spans="5:6" x14ac:dyDescent="0.15">
      <c r="E735">
        <f t="shared" si="11"/>
        <v>0</v>
      </c>
      <c r="F735" s="51">
        <v>10</v>
      </c>
    </row>
    <row r="736" spans="5:6" x14ac:dyDescent="0.15">
      <c r="E736">
        <f t="shared" si="11"/>
        <v>0</v>
      </c>
      <c r="F736" s="51">
        <v>10</v>
      </c>
    </row>
    <row r="737" spans="5:6" x14ac:dyDescent="0.15">
      <c r="E737">
        <f t="shared" si="11"/>
        <v>0</v>
      </c>
      <c r="F737" s="51">
        <v>10</v>
      </c>
    </row>
    <row r="738" spans="5:6" x14ac:dyDescent="0.15">
      <c r="E738">
        <f t="shared" si="11"/>
        <v>0</v>
      </c>
      <c r="F738" s="51">
        <v>10</v>
      </c>
    </row>
    <row r="739" spans="5:6" x14ac:dyDescent="0.15">
      <c r="E739">
        <f t="shared" si="11"/>
        <v>0</v>
      </c>
      <c r="F739" s="51">
        <v>10</v>
      </c>
    </row>
    <row r="740" spans="5:6" x14ac:dyDescent="0.15">
      <c r="E740">
        <f t="shared" si="11"/>
        <v>0</v>
      </c>
      <c r="F740" s="51">
        <v>10</v>
      </c>
    </row>
    <row r="741" spans="5:6" x14ac:dyDescent="0.15">
      <c r="E741">
        <f t="shared" si="11"/>
        <v>0</v>
      </c>
      <c r="F741" s="51">
        <v>10</v>
      </c>
    </row>
    <row r="742" spans="5:6" x14ac:dyDescent="0.15">
      <c r="E742">
        <f t="shared" si="11"/>
        <v>0</v>
      </c>
      <c r="F742" s="51">
        <v>10</v>
      </c>
    </row>
    <row r="743" spans="5:6" x14ac:dyDescent="0.15">
      <c r="E743">
        <f t="shared" si="11"/>
        <v>0</v>
      </c>
      <c r="F743" s="51">
        <v>10</v>
      </c>
    </row>
    <row r="744" spans="5:6" x14ac:dyDescent="0.15">
      <c r="E744">
        <f t="shared" si="11"/>
        <v>0</v>
      </c>
      <c r="F744" s="51">
        <v>10</v>
      </c>
    </row>
    <row r="745" spans="5:6" x14ac:dyDescent="0.15">
      <c r="E745">
        <f t="shared" si="11"/>
        <v>0</v>
      </c>
      <c r="F745" s="51">
        <v>10</v>
      </c>
    </row>
    <row r="746" spans="5:6" x14ac:dyDescent="0.15">
      <c r="E746">
        <f t="shared" si="11"/>
        <v>0</v>
      </c>
      <c r="F746" s="51">
        <v>10</v>
      </c>
    </row>
    <row r="747" spans="5:6" x14ac:dyDescent="0.15">
      <c r="E747">
        <f t="shared" si="11"/>
        <v>0</v>
      </c>
      <c r="F747" s="51">
        <v>10</v>
      </c>
    </row>
    <row r="748" spans="5:6" x14ac:dyDescent="0.15">
      <c r="E748">
        <f t="shared" si="11"/>
        <v>0</v>
      </c>
      <c r="F748" s="51">
        <v>10</v>
      </c>
    </row>
    <row r="749" spans="5:6" x14ac:dyDescent="0.15">
      <c r="E749">
        <f t="shared" si="11"/>
        <v>0</v>
      </c>
      <c r="F749" s="51">
        <v>10</v>
      </c>
    </row>
    <row r="750" spans="5:6" x14ac:dyDescent="0.15">
      <c r="E750">
        <f t="shared" si="11"/>
        <v>0</v>
      </c>
      <c r="F750" s="51">
        <v>10</v>
      </c>
    </row>
    <row r="751" spans="5:6" x14ac:dyDescent="0.15">
      <c r="E751">
        <f t="shared" si="11"/>
        <v>0</v>
      </c>
      <c r="F751" s="51">
        <v>10</v>
      </c>
    </row>
    <row r="752" spans="5:6" x14ac:dyDescent="0.15">
      <c r="E752">
        <f t="shared" si="11"/>
        <v>0</v>
      </c>
      <c r="F752" s="51">
        <v>10</v>
      </c>
    </row>
    <row r="753" spans="5:6" x14ac:dyDescent="0.15">
      <c r="E753">
        <f t="shared" si="11"/>
        <v>0</v>
      </c>
      <c r="F753" s="51">
        <v>10</v>
      </c>
    </row>
    <row r="754" spans="5:6" x14ac:dyDescent="0.15">
      <c r="E754">
        <f t="shared" si="11"/>
        <v>0</v>
      </c>
      <c r="F754" s="51">
        <v>10</v>
      </c>
    </row>
    <row r="755" spans="5:6" x14ac:dyDescent="0.15">
      <c r="E755">
        <f t="shared" si="11"/>
        <v>0</v>
      </c>
      <c r="F755" s="51">
        <v>10</v>
      </c>
    </row>
    <row r="756" spans="5:6" x14ac:dyDescent="0.15">
      <c r="E756">
        <f t="shared" si="11"/>
        <v>0</v>
      </c>
      <c r="F756" s="51">
        <v>10</v>
      </c>
    </row>
    <row r="757" spans="5:6" x14ac:dyDescent="0.15">
      <c r="E757">
        <f t="shared" si="11"/>
        <v>0</v>
      </c>
      <c r="F757" s="51">
        <v>10</v>
      </c>
    </row>
    <row r="758" spans="5:6" x14ac:dyDescent="0.15">
      <c r="E758">
        <f t="shared" si="11"/>
        <v>0</v>
      </c>
      <c r="F758" s="51">
        <v>10</v>
      </c>
    </row>
    <row r="759" spans="5:6" x14ac:dyDescent="0.15">
      <c r="E759">
        <f t="shared" si="11"/>
        <v>0</v>
      </c>
      <c r="F759" s="51">
        <v>10</v>
      </c>
    </row>
    <row r="760" spans="5:6" x14ac:dyDescent="0.15">
      <c r="E760">
        <f t="shared" si="11"/>
        <v>0</v>
      </c>
      <c r="F760" s="51">
        <v>10</v>
      </c>
    </row>
    <row r="761" spans="5:6" x14ac:dyDescent="0.15">
      <c r="E761">
        <f t="shared" si="11"/>
        <v>0</v>
      </c>
      <c r="F761" s="51">
        <v>10</v>
      </c>
    </row>
    <row r="762" spans="5:6" x14ac:dyDescent="0.15">
      <c r="E762">
        <f t="shared" si="11"/>
        <v>0</v>
      </c>
      <c r="F762" s="51">
        <v>10</v>
      </c>
    </row>
    <row r="763" spans="5:6" x14ac:dyDescent="0.15">
      <c r="E763">
        <f t="shared" si="11"/>
        <v>0</v>
      </c>
      <c r="F763" s="51">
        <v>10</v>
      </c>
    </row>
    <row r="764" spans="5:6" x14ac:dyDescent="0.15">
      <c r="E764">
        <f t="shared" si="11"/>
        <v>0</v>
      </c>
      <c r="F764" s="51">
        <v>10</v>
      </c>
    </row>
    <row r="765" spans="5:6" x14ac:dyDescent="0.15">
      <c r="E765">
        <f t="shared" si="11"/>
        <v>0</v>
      </c>
      <c r="F765" s="51">
        <v>10</v>
      </c>
    </row>
    <row r="766" spans="5:6" x14ac:dyDescent="0.15">
      <c r="E766">
        <f t="shared" si="11"/>
        <v>0</v>
      </c>
      <c r="F766" s="51">
        <v>10</v>
      </c>
    </row>
    <row r="767" spans="5:6" x14ac:dyDescent="0.15">
      <c r="E767">
        <f t="shared" si="11"/>
        <v>0</v>
      </c>
      <c r="F767" s="51">
        <v>10</v>
      </c>
    </row>
    <row r="768" spans="5:6" x14ac:dyDescent="0.15">
      <c r="E768">
        <f t="shared" si="11"/>
        <v>0</v>
      </c>
      <c r="F768" s="51">
        <v>10</v>
      </c>
    </row>
    <row r="769" spans="5:6" x14ac:dyDescent="0.15">
      <c r="E769">
        <f t="shared" si="11"/>
        <v>0</v>
      </c>
      <c r="F769" s="51">
        <v>10</v>
      </c>
    </row>
    <row r="770" spans="5:6" x14ac:dyDescent="0.15">
      <c r="E770">
        <f t="shared" si="11"/>
        <v>0</v>
      </c>
      <c r="F770" s="51">
        <v>10</v>
      </c>
    </row>
    <row r="771" spans="5:6" x14ac:dyDescent="0.15">
      <c r="E771">
        <f t="shared" si="11"/>
        <v>0</v>
      </c>
      <c r="F771" s="51">
        <v>10</v>
      </c>
    </row>
    <row r="772" spans="5:6" x14ac:dyDescent="0.15">
      <c r="E772">
        <f t="shared" ref="E772:E835" si="12">D772*F771%+D772</f>
        <v>0</v>
      </c>
      <c r="F772" s="51">
        <v>10</v>
      </c>
    </row>
    <row r="773" spans="5:6" x14ac:dyDescent="0.15">
      <c r="E773">
        <f t="shared" si="12"/>
        <v>0</v>
      </c>
      <c r="F773" s="51">
        <v>10</v>
      </c>
    </row>
    <row r="774" spans="5:6" x14ac:dyDescent="0.15">
      <c r="E774">
        <f t="shared" si="12"/>
        <v>0</v>
      </c>
      <c r="F774" s="51">
        <v>10</v>
      </c>
    </row>
    <row r="775" spans="5:6" x14ac:dyDescent="0.15">
      <c r="E775">
        <f t="shared" si="12"/>
        <v>0</v>
      </c>
      <c r="F775" s="51">
        <v>10</v>
      </c>
    </row>
    <row r="776" spans="5:6" x14ac:dyDescent="0.15">
      <c r="E776">
        <f t="shared" si="12"/>
        <v>0</v>
      </c>
      <c r="F776" s="51">
        <v>10</v>
      </c>
    </row>
    <row r="777" spans="5:6" x14ac:dyDescent="0.15">
      <c r="E777">
        <f t="shared" si="12"/>
        <v>0</v>
      </c>
      <c r="F777" s="51">
        <v>10</v>
      </c>
    </row>
    <row r="778" spans="5:6" x14ac:dyDescent="0.15">
      <c r="E778">
        <f t="shared" si="12"/>
        <v>0</v>
      </c>
      <c r="F778" s="51">
        <v>10</v>
      </c>
    </row>
    <row r="779" spans="5:6" x14ac:dyDescent="0.15">
      <c r="E779">
        <f t="shared" si="12"/>
        <v>0</v>
      </c>
      <c r="F779" s="51">
        <v>10</v>
      </c>
    </row>
    <row r="780" spans="5:6" x14ac:dyDescent="0.15">
      <c r="E780">
        <f t="shared" si="12"/>
        <v>0</v>
      </c>
      <c r="F780" s="51">
        <v>10</v>
      </c>
    </row>
    <row r="781" spans="5:6" x14ac:dyDescent="0.15">
      <c r="E781">
        <f t="shared" si="12"/>
        <v>0</v>
      </c>
      <c r="F781" s="51">
        <v>10</v>
      </c>
    </row>
    <row r="782" spans="5:6" x14ac:dyDescent="0.15">
      <c r="E782">
        <f t="shared" si="12"/>
        <v>0</v>
      </c>
      <c r="F782" s="51">
        <v>10</v>
      </c>
    </row>
    <row r="783" spans="5:6" x14ac:dyDescent="0.15">
      <c r="E783">
        <f t="shared" si="12"/>
        <v>0</v>
      </c>
      <c r="F783" s="51">
        <v>10</v>
      </c>
    </row>
    <row r="784" spans="5:6" x14ac:dyDescent="0.15">
      <c r="E784">
        <f t="shared" si="12"/>
        <v>0</v>
      </c>
      <c r="F784" s="51">
        <v>10</v>
      </c>
    </row>
    <row r="785" spans="5:6" x14ac:dyDescent="0.15">
      <c r="E785">
        <f t="shared" si="12"/>
        <v>0</v>
      </c>
      <c r="F785" s="51">
        <v>10</v>
      </c>
    </row>
    <row r="786" spans="5:6" x14ac:dyDescent="0.15">
      <c r="E786">
        <f t="shared" si="12"/>
        <v>0</v>
      </c>
      <c r="F786" s="51">
        <v>10</v>
      </c>
    </row>
    <row r="787" spans="5:6" x14ac:dyDescent="0.15">
      <c r="E787">
        <f t="shared" si="12"/>
        <v>0</v>
      </c>
      <c r="F787" s="51">
        <v>10</v>
      </c>
    </row>
    <row r="788" spans="5:6" x14ac:dyDescent="0.15">
      <c r="E788">
        <f t="shared" si="12"/>
        <v>0</v>
      </c>
      <c r="F788" s="51">
        <v>10</v>
      </c>
    </row>
    <row r="789" spans="5:6" x14ac:dyDescent="0.15">
      <c r="E789">
        <f t="shared" si="12"/>
        <v>0</v>
      </c>
      <c r="F789" s="51">
        <v>10</v>
      </c>
    </row>
    <row r="790" spans="5:6" x14ac:dyDescent="0.15">
      <c r="E790">
        <f t="shared" si="12"/>
        <v>0</v>
      </c>
      <c r="F790" s="51">
        <v>10</v>
      </c>
    </row>
    <row r="791" spans="5:6" x14ac:dyDescent="0.15">
      <c r="E791">
        <f t="shared" si="12"/>
        <v>0</v>
      </c>
      <c r="F791" s="51">
        <v>10</v>
      </c>
    </row>
    <row r="792" spans="5:6" x14ac:dyDescent="0.15">
      <c r="E792">
        <f t="shared" si="12"/>
        <v>0</v>
      </c>
      <c r="F792" s="51">
        <v>10</v>
      </c>
    </row>
    <row r="793" spans="5:6" x14ac:dyDescent="0.15">
      <c r="E793">
        <f t="shared" si="12"/>
        <v>0</v>
      </c>
      <c r="F793" s="51">
        <v>10</v>
      </c>
    </row>
    <row r="794" spans="5:6" x14ac:dyDescent="0.15">
      <c r="E794">
        <f t="shared" si="12"/>
        <v>0</v>
      </c>
      <c r="F794" s="51">
        <v>10</v>
      </c>
    </row>
    <row r="795" spans="5:6" x14ac:dyDescent="0.15">
      <c r="E795">
        <f t="shared" si="12"/>
        <v>0</v>
      </c>
      <c r="F795" s="51">
        <v>10</v>
      </c>
    </row>
    <row r="796" spans="5:6" x14ac:dyDescent="0.15">
      <c r="E796">
        <f t="shared" si="12"/>
        <v>0</v>
      </c>
      <c r="F796" s="51">
        <v>10</v>
      </c>
    </row>
    <row r="797" spans="5:6" x14ac:dyDescent="0.15">
      <c r="E797">
        <f t="shared" si="12"/>
        <v>0</v>
      </c>
      <c r="F797" s="51">
        <v>10</v>
      </c>
    </row>
    <row r="798" spans="5:6" x14ac:dyDescent="0.15">
      <c r="E798">
        <f t="shared" si="12"/>
        <v>0</v>
      </c>
      <c r="F798" s="51">
        <v>10</v>
      </c>
    </row>
    <row r="799" spans="5:6" x14ac:dyDescent="0.15">
      <c r="E799">
        <f t="shared" si="12"/>
        <v>0</v>
      </c>
      <c r="F799" s="51">
        <v>10</v>
      </c>
    </row>
    <row r="800" spans="5:6" x14ac:dyDescent="0.15">
      <c r="E800">
        <f t="shared" si="12"/>
        <v>0</v>
      </c>
      <c r="F800" s="51">
        <v>10</v>
      </c>
    </row>
    <row r="801" spans="5:6" x14ac:dyDescent="0.15">
      <c r="E801">
        <f t="shared" si="12"/>
        <v>0</v>
      </c>
      <c r="F801" s="51">
        <v>10</v>
      </c>
    </row>
    <row r="802" spans="5:6" x14ac:dyDescent="0.15">
      <c r="E802">
        <f t="shared" si="12"/>
        <v>0</v>
      </c>
      <c r="F802" s="51">
        <v>10</v>
      </c>
    </row>
    <row r="803" spans="5:6" x14ac:dyDescent="0.15">
      <c r="E803">
        <f t="shared" si="12"/>
        <v>0</v>
      </c>
      <c r="F803" s="51">
        <v>10</v>
      </c>
    </row>
    <row r="804" spans="5:6" x14ac:dyDescent="0.15">
      <c r="E804">
        <f t="shared" si="12"/>
        <v>0</v>
      </c>
      <c r="F804" s="51">
        <v>10</v>
      </c>
    </row>
    <row r="805" spans="5:6" x14ac:dyDescent="0.15">
      <c r="E805">
        <f t="shared" si="12"/>
        <v>0</v>
      </c>
      <c r="F805" s="51">
        <v>10</v>
      </c>
    </row>
    <row r="806" spans="5:6" x14ac:dyDescent="0.15">
      <c r="E806">
        <f t="shared" si="12"/>
        <v>0</v>
      </c>
      <c r="F806" s="51">
        <v>10</v>
      </c>
    </row>
    <row r="807" spans="5:6" x14ac:dyDescent="0.15">
      <c r="E807">
        <f t="shared" si="12"/>
        <v>0</v>
      </c>
      <c r="F807" s="51">
        <v>10</v>
      </c>
    </row>
    <row r="808" spans="5:6" x14ac:dyDescent="0.15">
      <c r="E808">
        <f t="shared" si="12"/>
        <v>0</v>
      </c>
      <c r="F808" s="51">
        <v>10</v>
      </c>
    </row>
    <row r="809" spans="5:6" x14ac:dyDescent="0.15">
      <c r="E809">
        <f t="shared" si="12"/>
        <v>0</v>
      </c>
      <c r="F809" s="51">
        <v>10</v>
      </c>
    </row>
    <row r="810" spans="5:6" x14ac:dyDescent="0.15">
      <c r="E810">
        <f t="shared" si="12"/>
        <v>0</v>
      </c>
      <c r="F810" s="51">
        <v>10</v>
      </c>
    </row>
    <row r="811" spans="5:6" x14ac:dyDescent="0.15">
      <c r="E811">
        <f t="shared" si="12"/>
        <v>0</v>
      </c>
      <c r="F811" s="51">
        <v>10</v>
      </c>
    </row>
    <row r="812" spans="5:6" x14ac:dyDescent="0.15">
      <c r="E812">
        <f t="shared" si="12"/>
        <v>0</v>
      </c>
      <c r="F812" s="51">
        <v>10</v>
      </c>
    </row>
    <row r="813" spans="5:6" x14ac:dyDescent="0.15">
      <c r="E813">
        <f t="shared" si="12"/>
        <v>0</v>
      </c>
      <c r="F813" s="51">
        <v>10</v>
      </c>
    </row>
    <row r="814" spans="5:6" x14ac:dyDescent="0.15">
      <c r="E814">
        <f t="shared" si="12"/>
        <v>0</v>
      </c>
      <c r="F814" s="51">
        <v>10</v>
      </c>
    </row>
    <row r="815" spans="5:6" x14ac:dyDescent="0.15">
      <c r="E815">
        <f t="shared" si="12"/>
        <v>0</v>
      </c>
      <c r="F815" s="51">
        <v>10</v>
      </c>
    </row>
    <row r="816" spans="5:6" x14ac:dyDescent="0.15">
      <c r="E816">
        <f t="shared" si="12"/>
        <v>0</v>
      </c>
      <c r="F816" s="51">
        <v>10</v>
      </c>
    </row>
    <row r="817" spans="5:6" x14ac:dyDescent="0.15">
      <c r="E817">
        <f t="shared" si="12"/>
        <v>0</v>
      </c>
      <c r="F817" s="51">
        <v>10</v>
      </c>
    </row>
    <row r="818" spans="5:6" x14ac:dyDescent="0.15">
      <c r="E818">
        <f t="shared" si="12"/>
        <v>0</v>
      </c>
      <c r="F818" s="51">
        <v>10</v>
      </c>
    </row>
    <row r="819" spans="5:6" x14ac:dyDescent="0.15">
      <c r="E819">
        <f t="shared" si="12"/>
        <v>0</v>
      </c>
      <c r="F819" s="51">
        <v>10</v>
      </c>
    </row>
    <row r="820" spans="5:6" x14ac:dyDescent="0.15">
      <c r="E820">
        <f t="shared" si="12"/>
        <v>0</v>
      </c>
      <c r="F820" s="51">
        <v>10</v>
      </c>
    </row>
    <row r="821" spans="5:6" x14ac:dyDescent="0.15">
      <c r="E821">
        <f t="shared" si="12"/>
        <v>0</v>
      </c>
      <c r="F821" s="51">
        <v>10</v>
      </c>
    </row>
    <row r="822" spans="5:6" x14ac:dyDescent="0.15">
      <c r="E822">
        <f t="shared" si="12"/>
        <v>0</v>
      </c>
      <c r="F822" s="51">
        <v>10</v>
      </c>
    </row>
    <row r="823" spans="5:6" x14ac:dyDescent="0.15">
      <c r="E823">
        <f t="shared" si="12"/>
        <v>0</v>
      </c>
      <c r="F823" s="51">
        <v>10</v>
      </c>
    </row>
    <row r="824" spans="5:6" x14ac:dyDescent="0.15">
      <c r="E824">
        <f t="shared" si="12"/>
        <v>0</v>
      </c>
      <c r="F824" s="51">
        <v>10</v>
      </c>
    </row>
    <row r="825" spans="5:6" x14ac:dyDescent="0.15">
      <c r="E825">
        <f t="shared" si="12"/>
        <v>0</v>
      </c>
      <c r="F825" s="51">
        <v>10</v>
      </c>
    </row>
    <row r="826" spans="5:6" x14ac:dyDescent="0.15">
      <c r="E826">
        <f t="shared" si="12"/>
        <v>0</v>
      </c>
      <c r="F826" s="51">
        <v>10</v>
      </c>
    </row>
    <row r="827" spans="5:6" x14ac:dyDescent="0.15">
      <c r="E827">
        <f t="shared" si="12"/>
        <v>0</v>
      </c>
      <c r="F827" s="51">
        <v>10</v>
      </c>
    </row>
    <row r="828" spans="5:6" x14ac:dyDescent="0.15">
      <c r="E828">
        <f t="shared" si="12"/>
        <v>0</v>
      </c>
      <c r="F828" s="51">
        <v>10</v>
      </c>
    </row>
    <row r="829" spans="5:6" x14ac:dyDescent="0.15">
      <c r="E829">
        <f t="shared" si="12"/>
        <v>0</v>
      </c>
      <c r="F829" s="51">
        <v>10</v>
      </c>
    </row>
    <row r="830" spans="5:6" x14ac:dyDescent="0.15">
      <c r="E830">
        <f t="shared" si="12"/>
        <v>0</v>
      </c>
      <c r="F830" s="51">
        <v>10</v>
      </c>
    </row>
    <row r="831" spans="5:6" x14ac:dyDescent="0.15">
      <c r="E831">
        <f t="shared" si="12"/>
        <v>0</v>
      </c>
      <c r="F831" s="51">
        <v>10</v>
      </c>
    </row>
    <row r="832" spans="5:6" x14ac:dyDescent="0.15">
      <c r="E832">
        <f t="shared" si="12"/>
        <v>0</v>
      </c>
      <c r="F832" s="51">
        <v>10</v>
      </c>
    </row>
    <row r="833" spans="5:6" x14ac:dyDescent="0.15">
      <c r="E833">
        <f t="shared" si="12"/>
        <v>0</v>
      </c>
      <c r="F833" s="51">
        <v>10</v>
      </c>
    </row>
    <row r="834" spans="5:6" x14ac:dyDescent="0.15">
      <c r="E834">
        <f t="shared" si="12"/>
        <v>0</v>
      </c>
      <c r="F834" s="51">
        <v>10</v>
      </c>
    </row>
    <row r="835" spans="5:6" x14ac:dyDescent="0.15">
      <c r="E835">
        <f t="shared" si="12"/>
        <v>0</v>
      </c>
      <c r="F835" s="51">
        <v>10</v>
      </c>
    </row>
    <row r="836" spans="5:6" x14ac:dyDescent="0.15">
      <c r="E836">
        <f t="shared" ref="E836:E899" si="13">D836*F835%+D836</f>
        <v>0</v>
      </c>
      <c r="F836" s="51">
        <v>10</v>
      </c>
    </row>
    <row r="837" spans="5:6" x14ac:dyDescent="0.15">
      <c r="E837">
        <f t="shared" si="13"/>
        <v>0</v>
      </c>
      <c r="F837" s="51">
        <v>10</v>
      </c>
    </row>
    <row r="838" spans="5:6" x14ac:dyDescent="0.15">
      <c r="E838">
        <f t="shared" si="13"/>
        <v>0</v>
      </c>
      <c r="F838" s="51">
        <v>10</v>
      </c>
    </row>
    <row r="839" spans="5:6" x14ac:dyDescent="0.15">
      <c r="E839">
        <f t="shared" si="13"/>
        <v>0</v>
      </c>
      <c r="F839" s="51">
        <v>10</v>
      </c>
    </row>
    <row r="840" spans="5:6" x14ac:dyDescent="0.15">
      <c r="E840">
        <f t="shared" si="13"/>
        <v>0</v>
      </c>
      <c r="F840" s="51">
        <v>10</v>
      </c>
    </row>
    <row r="841" spans="5:6" x14ac:dyDescent="0.15">
      <c r="E841">
        <f t="shared" si="13"/>
        <v>0</v>
      </c>
      <c r="F841" s="51">
        <v>10</v>
      </c>
    </row>
    <row r="842" spans="5:6" x14ac:dyDescent="0.15">
      <c r="E842">
        <f t="shared" si="13"/>
        <v>0</v>
      </c>
      <c r="F842" s="51">
        <v>10</v>
      </c>
    </row>
    <row r="843" spans="5:6" x14ac:dyDescent="0.15">
      <c r="E843">
        <f t="shared" si="13"/>
        <v>0</v>
      </c>
      <c r="F843" s="51">
        <v>10</v>
      </c>
    </row>
    <row r="844" spans="5:6" x14ac:dyDescent="0.15">
      <c r="E844">
        <f t="shared" si="13"/>
        <v>0</v>
      </c>
      <c r="F844" s="51">
        <v>10</v>
      </c>
    </row>
    <row r="845" spans="5:6" x14ac:dyDescent="0.15">
      <c r="E845">
        <f t="shared" si="13"/>
        <v>0</v>
      </c>
      <c r="F845" s="51">
        <v>10</v>
      </c>
    </row>
    <row r="846" spans="5:6" x14ac:dyDescent="0.15">
      <c r="E846">
        <f t="shared" si="13"/>
        <v>0</v>
      </c>
      <c r="F846" s="51">
        <v>10</v>
      </c>
    </row>
    <row r="847" spans="5:6" x14ac:dyDescent="0.15">
      <c r="E847">
        <f t="shared" si="13"/>
        <v>0</v>
      </c>
      <c r="F847" s="51">
        <v>10</v>
      </c>
    </row>
    <row r="848" spans="5:6" x14ac:dyDescent="0.15">
      <c r="E848">
        <f t="shared" si="13"/>
        <v>0</v>
      </c>
      <c r="F848" s="51">
        <v>10</v>
      </c>
    </row>
    <row r="849" spans="5:6" x14ac:dyDescent="0.15">
      <c r="E849">
        <f t="shared" si="13"/>
        <v>0</v>
      </c>
      <c r="F849" s="51">
        <v>10</v>
      </c>
    </row>
    <row r="850" spans="5:6" x14ac:dyDescent="0.15">
      <c r="E850">
        <f t="shared" si="13"/>
        <v>0</v>
      </c>
      <c r="F850" s="51">
        <v>10</v>
      </c>
    </row>
    <row r="851" spans="5:6" x14ac:dyDescent="0.15">
      <c r="E851">
        <f t="shared" si="13"/>
        <v>0</v>
      </c>
      <c r="F851" s="51">
        <v>10</v>
      </c>
    </row>
    <row r="852" spans="5:6" x14ac:dyDescent="0.15">
      <c r="E852">
        <f t="shared" si="13"/>
        <v>0</v>
      </c>
      <c r="F852" s="51">
        <v>10</v>
      </c>
    </row>
    <row r="853" spans="5:6" x14ac:dyDescent="0.15">
      <c r="E853">
        <f t="shared" si="13"/>
        <v>0</v>
      </c>
      <c r="F853" s="51">
        <v>10</v>
      </c>
    </row>
    <row r="854" spans="5:6" x14ac:dyDescent="0.15">
      <c r="E854">
        <f t="shared" si="13"/>
        <v>0</v>
      </c>
      <c r="F854" s="51">
        <v>10</v>
      </c>
    </row>
    <row r="855" spans="5:6" x14ac:dyDescent="0.15">
      <c r="E855">
        <f t="shared" si="13"/>
        <v>0</v>
      </c>
      <c r="F855" s="51">
        <v>10</v>
      </c>
    </row>
    <row r="856" spans="5:6" x14ac:dyDescent="0.15">
      <c r="E856">
        <f t="shared" si="13"/>
        <v>0</v>
      </c>
      <c r="F856" s="51">
        <v>10</v>
      </c>
    </row>
    <row r="857" spans="5:6" x14ac:dyDescent="0.15">
      <c r="E857">
        <f t="shared" si="13"/>
        <v>0</v>
      </c>
      <c r="F857" s="51">
        <v>10</v>
      </c>
    </row>
    <row r="858" spans="5:6" x14ac:dyDescent="0.15">
      <c r="E858">
        <f t="shared" si="13"/>
        <v>0</v>
      </c>
      <c r="F858" s="51">
        <v>10</v>
      </c>
    </row>
    <row r="859" spans="5:6" x14ac:dyDescent="0.15">
      <c r="E859">
        <f t="shared" si="13"/>
        <v>0</v>
      </c>
      <c r="F859" s="51">
        <v>10</v>
      </c>
    </row>
    <row r="860" spans="5:6" x14ac:dyDescent="0.15">
      <c r="E860">
        <f t="shared" si="13"/>
        <v>0</v>
      </c>
      <c r="F860" s="51">
        <v>10</v>
      </c>
    </row>
    <row r="861" spans="5:6" x14ac:dyDescent="0.15">
      <c r="E861">
        <f t="shared" si="13"/>
        <v>0</v>
      </c>
      <c r="F861" s="51">
        <v>10</v>
      </c>
    </row>
    <row r="862" spans="5:6" x14ac:dyDescent="0.15">
      <c r="E862">
        <f t="shared" si="13"/>
        <v>0</v>
      </c>
      <c r="F862" s="51">
        <v>10</v>
      </c>
    </row>
    <row r="863" spans="5:6" x14ac:dyDescent="0.15">
      <c r="E863">
        <f t="shared" si="13"/>
        <v>0</v>
      </c>
      <c r="F863" s="51">
        <v>10</v>
      </c>
    </row>
    <row r="864" spans="5:6" x14ac:dyDescent="0.15">
      <c r="E864">
        <f t="shared" si="13"/>
        <v>0</v>
      </c>
      <c r="F864" s="51">
        <v>10</v>
      </c>
    </row>
    <row r="865" spans="5:6" x14ac:dyDescent="0.15">
      <c r="E865">
        <f t="shared" si="13"/>
        <v>0</v>
      </c>
      <c r="F865" s="51">
        <v>10</v>
      </c>
    </row>
    <row r="866" spans="5:6" x14ac:dyDescent="0.15">
      <c r="E866">
        <f t="shared" si="13"/>
        <v>0</v>
      </c>
      <c r="F866" s="51">
        <v>10</v>
      </c>
    </row>
    <row r="867" spans="5:6" x14ac:dyDescent="0.15">
      <c r="E867">
        <f t="shared" si="13"/>
        <v>0</v>
      </c>
      <c r="F867" s="51">
        <v>10</v>
      </c>
    </row>
    <row r="868" spans="5:6" x14ac:dyDescent="0.15">
      <c r="E868">
        <f t="shared" si="13"/>
        <v>0</v>
      </c>
      <c r="F868" s="51">
        <v>10</v>
      </c>
    </row>
    <row r="869" spans="5:6" x14ac:dyDescent="0.15">
      <c r="E869">
        <f t="shared" si="13"/>
        <v>0</v>
      </c>
      <c r="F869" s="51">
        <v>10</v>
      </c>
    </row>
    <row r="870" spans="5:6" x14ac:dyDescent="0.15">
      <c r="E870">
        <f t="shared" si="13"/>
        <v>0</v>
      </c>
      <c r="F870" s="51">
        <v>10</v>
      </c>
    </row>
    <row r="871" spans="5:6" x14ac:dyDescent="0.15">
      <c r="E871">
        <f t="shared" si="13"/>
        <v>0</v>
      </c>
      <c r="F871" s="51">
        <v>10</v>
      </c>
    </row>
    <row r="872" spans="5:6" x14ac:dyDescent="0.15">
      <c r="E872">
        <f t="shared" si="13"/>
        <v>0</v>
      </c>
      <c r="F872" s="51">
        <v>10</v>
      </c>
    </row>
    <row r="873" spans="5:6" x14ac:dyDescent="0.15">
      <c r="E873">
        <f t="shared" si="13"/>
        <v>0</v>
      </c>
      <c r="F873" s="51">
        <v>10</v>
      </c>
    </row>
    <row r="874" spans="5:6" x14ac:dyDescent="0.15">
      <c r="E874">
        <f t="shared" si="13"/>
        <v>0</v>
      </c>
      <c r="F874" s="51">
        <v>10</v>
      </c>
    </row>
    <row r="875" spans="5:6" x14ac:dyDescent="0.15">
      <c r="E875">
        <f t="shared" si="13"/>
        <v>0</v>
      </c>
      <c r="F875" s="51">
        <v>10</v>
      </c>
    </row>
    <row r="876" spans="5:6" x14ac:dyDescent="0.15">
      <c r="E876">
        <f t="shared" si="13"/>
        <v>0</v>
      </c>
      <c r="F876" s="51">
        <v>10</v>
      </c>
    </row>
    <row r="877" spans="5:6" x14ac:dyDescent="0.15">
      <c r="E877">
        <f t="shared" si="13"/>
        <v>0</v>
      </c>
      <c r="F877" s="51">
        <v>10</v>
      </c>
    </row>
    <row r="878" spans="5:6" x14ac:dyDescent="0.15">
      <c r="E878">
        <f t="shared" si="13"/>
        <v>0</v>
      </c>
      <c r="F878" s="51">
        <v>10</v>
      </c>
    </row>
    <row r="879" spans="5:6" x14ac:dyDescent="0.15">
      <c r="E879">
        <f t="shared" si="13"/>
        <v>0</v>
      </c>
      <c r="F879" s="51">
        <v>10</v>
      </c>
    </row>
    <row r="880" spans="5:6" x14ac:dyDescent="0.15">
      <c r="E880">
        <f t="shared" si="13"/>
        <v>0</v>
      </c>
      <c r="F880" s="51">
        <v>10</v>
      </c>
    </row>
    <row r="881" spans="5:6" x14ac:dyDescent="0.15">
      <c r="E881">
        <f t="shared" si="13"/>
        <v>0</v>
      </c>
      <c r="F881" s="51">
        <v>10</v>
      </c>
    </row>
    <row r="882" spans="5:6" x14ac:dyDescent="0.15">
      <c r="E882">
        <f t="shared" si="13"/>
        <v>0</v>
      </c>
      <c r="F882" s="51">
        <v>10</v>
      </c>
    </row>
    <row r="883" spans="5:6" x14ac:dyDescent="0.15">
      <c r="E883">
        <f t="shared" si="13"/>
        <v>0</v>
      </c>
      <c r="F883" s="51">
        <v>10</v>
      </c>
    </row>
    <row r="884" spans="5:6" x14ac:dyDescent="0.15">
      <c r="E884">
        <f t="shared" si="13"/>
        <v>0</v>
      </c>
      <c r="F884" s="51">
        <v>10</v>
      </c>
    </row>
    <row r="885" spans="5:6" x14ac:dyDescent="0.15">
      <c r="E885">
        <f t="shared" si="13"/>
        <v>0</v>
      </c>
      <c r="F885" s="51">
        <v>10</v>
      </c>
    </row>
    <row r="886" spans="5:6" x14ac:dyDescent="0.15">
      <c r="E886">
        <f t="shared" si="13"/>
        <v>0</v>
      </c>
      <c r="F886" s="51">
        <v>10</v>
      </c>
    </row>
    <row r="887" spans="5:6" x14ac:dyDescent="0.15">
      <c r="E887">
        <f t="shared" si="13"/>
        <v>0</v>
      </c>
      <c r="F887" s="51">
        <v>10</v>
      </c>
    </row>
    <row r="888" spans="5:6" x14ac:dyDescent="0.15">
      <c r="E888">
        <f t="shared" si="13"/>
        <v>0</v>
      </c>
      <c r="F888" s="51">
        <v>10</v>
      </c>
    </row>
    <row r="889" spans="5:6" x14ac:dyDescent="0.15">
      <c r="E889">
        <f t="shared" si="13"/>
        <v>0</v>
      </c>
      <c r="F889" s="51">
        <v>10</v>
      </c>
    </row>
    <row r="890" spans="5:6" x14ac:dyDescent="0.15">
      <c r="E890">
        <f t="shared" si="13"/>
        <v>0</v>
      </c>
      <c r="F890" s="51">
        <v>10</v>
      </c>
    </row>
    <row r="891" spans="5:6" x14ac:dyDescent="0.15">
      <c r="E891">
        <f t="shared" si="13"/>
        <v>0</v>
      </c>
      <c r="F891" s="51">
        <v>10</v>
      </c>
    </row>
    <row r="892" spans="5:6" x14ac:dyDescent="0.15">
      <c r="E892">
        <f t="shared" si="13"/>
        <v>0</v>
      </c>
      <c r="F892" s="51">
        <v>10</v>
      </c>
    </row>
    <row r="893" spans="5:6" x14ac:dyDescent="0.15">
      <c r="E893">
        <f t="shared" si="13"/>
        <v>0</v>
      </c>
      <c r="F893" s="51">
        <v>10</v>
      </c>
    </row>
    <row r="894" spans="5:6" x14ac:dyDescent="0.15">
      <c r="E894">
        <f t="shared" si="13"/>
        <v>0</v>
      </c>
      <c r="F894" s="51">
        <v>10</v>
      </c>
    </row>
    <row r="895" spans="5:6" x14ac:dyDescent="0.15">
      <c r="E895">
        <f t="shared" si="13"/>
        <v>0</v>
      </c>
      <c r="F895" s="51">
        <v>10</v>
      </c>
    </row>
    <row r="896" spans="5:6" x14ac:dyDescent="0.15">
      <c r="E896">
        <f t="shared" si="13"/>
        <v>0</v>
      </c>
      <c r="F896" s="51">
        <v>10</v>
      </c>
    </row>
    <row r="897" spans="5:6" x14ac:dyDescent="0.15">
      <c r="E897">
        <f t="shared" si="13"/>
        <v>0</v>
      </c>
      <c r="F897" s="51">
        <v>10</v>
      </c>
    </row>
    <row r="898" spans="5:6" x14ac:dyDescent="0.15">
      <c r="E898">
        <f t="shared" si="13"/>
        <v>0</v>
      </c>
      <c r="F898" s="51">
        <v>10</v>
      </c>
    </row>
    <row r="899" spans="5:6" x14ac:dyDescent="0.15">
      <c r="E899">
        <f t="shared" si="13"/>
        <v>0</v>
      </c>
      <c r="F899" s="51">
        <v>10</v>
      </c>
    </row>
    <row r="900" spans="5:6" x14ac:dyDescent="0.15">
      <c r="E900">
        <f t="shared" ref="E900:E901" si="14">D900*F899%+D900</f>
        <v>0</v>
      </c>
    </row>
    <row r="901" spans="5:6" x14ac:dyDescent="0.15">
      <c r="E901">
        <f t="shared" si="14"/>
        <v>0</v>
      </c>
    </row>
  </sheetData>
  <mergeCells count="2">
    <mergeCell ref="B1:B3"/>
    <mergeCell ref="D1:E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Pantanir</vt:lpstr>
      <vt:lpstr>Vörulisti</vt:lpstr>
      <vt:lpstr>Sheet1</vt:lpstr>
      <vt:lpstr>Áletrun</vt:lpstr>
      <vt:lpstr>Annað</vt:lpstr>
      <vt:lpstr>AnnaðVerð</vt:lpstr>
      <vt:lpstr>BlómarammarVerð</vt:lpstr>
      <vt:lpstr>Fuglar</vt:lpstr>
      <vt:lpstr>Fuglar1</vt:lpstr>
      <vt:lpstr>Fuglar2</vt:lpstr>
      <vt:lpstr>FuglarVerð</vt:lpstr>
      <vt:lpstr>Glitir</vt:lpstr>
      <vt:lpstr>Kirkjugarðar</vt:lpstr>
      <vt:lpstr>Krossar</vt:lpstr>
      <vt:lpstr>Krossar1</vt:lpstr>
      <vt:lpstr>KrossarVerð</vt:lpstr>
      <vt:lpstr>Legsteinar</vt:lpstr>
      <vt:lpstr>LegsteinarVerð</vt:lpstr>
      <vt:lpstr>Legsteinn</vt:lpstr>
      <vt:lpstr>Letur</vt:lpstr>
      <vt:lpstr>Litur</vt:lpstr>
      <vt:lpstr>LuktirVasar</vt:lpstr>
      <vt:lpstr>LuktirVasarVerð</vt:lpstr>
      <vt:lpstr>Mynd</vt:lpstr>
      <vt:lpstr>Myndir</vt:lpstr>
      <vt:lpstr>MyndVerð</vt:lpstr>
      <vt:lpstr>Pantanir!Print_Area</vt:lpstr>
      <vt:lpstr>Rammi</vt:lpstr>
      <vt:lpstr>RammiVerð</vt:lpstr>
      <vt:lpstr>Sölumaður</vt:lpstr>
      <vt:lpstr>STD</vt:lpstr>
      <vt:lpstr>SteinaVerð</vt:lpstr>
      <vt:lpstr>STVerð</vt:lpstr>
      <vt:lpstr>Uppsetning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Sólsteinar Unnar</dc:creator>
  <cp:lastModifiedBy>Guðrún Auður Böðvarsdóttir</cp:lastModifiedBy>
  <cp:lastPrinted>2026-04-13T13:54:23Z</cp:lastPrinted>
  <dcterms:created xsi:type="dcterms:W3CDTF">2006-04-26T18:54:26Z</dcterms:created>
  <dcterms:modified xsi:type="dcterms:W3CDTF">2026-05-05T14:59:08Z</dcterms:modified>
</cp:coreProperties>
</file>